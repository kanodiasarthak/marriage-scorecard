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02.03.25" sheetId="2" r:id="rId6"/>
    <sheet state="visible" name="Jan 22 2025" sheetId="3" r:id="rId7"/>
    <sheet state="visible" name="6th Jan" sheetId="4" r:id="rId8"/>
    <sheet state="visible" name="Copy of Nov 1 2024" sheetId="5" r:id="rId9"/>
  </sheets>
  <definedNames/>
  <calcPr/>
</workbook>
</file>

<file path=xl/sharedStrings.xml><?xml version="1.0" encoding="utf-8"?>
<sst xmlns="http://schemas.openxmlformats.org/spreadsheetml/2006/main" count="192" uniqueCount="22">
  <si>
    <t>Choose number of players</t>
  </si>
  <si>
    <t>Enter Player Names:</t>
  </si>
  <si>
    <t>Player 1</t>
  </si>
  <si>
    <t>Player 2</t>
  </si>
  <si>
    <t>Player 3</t>
  </si>
  <si>
    <t>Player 4</t>
  </si>
  <si>
    <t>Player 5</t>
  </si>
  <si>
    <t>Player 6</t>
  </si>
  <si>
    <t>Enter Round Details:</t>
  </si>
  <si>
    <t>Round No.</t>
  </si>
  <si>
    <t>Show</t>
  </si>
  <si>
    <t>Maal</t>
  </si>
  <si>
    <t>Hand</t>
  </si>
  <si>
    <t>TM</t>
  </si>
  <si>
    <t>TH</t>
  </si>
  <si>
    <t>Anon P2</t>
  </si>
  <si>
    <t>Anon P1</t>
  </si>
  <si>
    <t>Anon P6</t>
  </si>
  <si>
    <t>Anon P7</t>
  </si>
  <si>
    <t>Anon P4</t>
  </si>
  <si>
    <t>Anon P5</t>
  </si>
  <si>
    <t>Anon 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</si>
</sst>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5.0"/>
      <color theme="1"/>
      <name val="Spectral"/>
    </font>
    <font>
      <b/>
      <sz val="15.0"/>
      <color rgb="FFFFFFFF"/>
      <name val="Spectral"/>
    </font>
    <font/>
    <font>
      <sz val="15.0"/>
      <color rgb="FF000000"/>
      <name val="Spectral"/>
    </font>
    <font>
      <b/>
      <sz val="15.0"/>
      <color rgb="FF000000"/>
      <name val="Spectral"/>
    </font>
    <font>
      <sz val="15.0"/>
      <color rgb="FFFFFFFF"/>
      <name val="Spectral"/>
    </font>
    <font>
      <sz val="15.0"/>
      <color rgb="FFF3F3F3"/>
      <name val="Spectral"/>
    </font>
    <font>
      <b/>
      <sz val="15.0"/>
      <color theme="1"/>
      <name val="Spectral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3" fillId="3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4" fillId="2" fontId="6" numFmtId="0" xfId="0" applyAlignment="1" applyBorder="1" applyFont="1">
      <alignment horizontal="center" readingOrder="0" shrinkToFit="0" vertical="center" wrapText="0"/>
    </xf>
    <xf borderId="5" fillId="0" fontId="3" numFmtId="0" xfId="0" applyBorder="1" applyFont="1"/>
    <xf borderId="4" fillId="4" fontId="5" numFmtId="0" xfId="0" applyAlignment="1" applyBorder="1" applyFill="1" applyFont="1">
      <alignment horizontal="left" readingOrder="0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7" fillId="2" fontId="6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9" fillId="2" fontId="6" numFmtId="0" xfId="0" applyAlignment="1" applyBorder="1" applyFont="1">
      <alignment horizontal="center" readingOrder="0" shrinkToFit="0" vertical="center" wrapText="0"/>
    </xf>
    <xf borderId="10" fillId="0" fontId="3" numFmtId="0" xfId="0" applyBorder="1" applyFont="1"/>
    <xf borderId="1" fillId="4" fontId="5" numFmtId="0" xfId="0" applyAlignment="1" applyBorder="1" applyFont="1">
      <alignment horizontal="left" readingOrder="0" shrinkToFit="0" vertical="center" wrapText="0"/>
    </xf>
    <xf borderId="11" fillId="2" fontId="2" numFmtId="0" xfId="0" applyAlignment="1" applyBorder="1" applyFont="1">
      <alignment horizontal="center" readingOrder="0" shrinkToFit="0" vertical="center" wrapText="0"/>
    </xf>
    <xf borderId="12" fillId="2" fontId="2" numFmtId="0" xfId="0" applyAlignment="1" applyBorder="1" applyFont="1">
      <alignment horizontal="center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5" fontId="7" numFmtId="0" xfId="0" applyAlignment="1" applyBorder="1" applyFill="1" applyFont="1">
      <alignment horizontal="center" readingOrder="0" shrinkToFit="0" vertical="center" wrapText="0"/>
    </xf>
    <xf borderId="16" fillId="5" fontId="7" numFmtId="0" xfId="0" applyAlignment="1" applyBorder="1" applyFont="1">
      <alignment horizontal="center" readingOrder="0" shrinkToFit="0" vertical="center" wrapText="0"/>
    </xf>
    <xf borderId="17" fillId="5" fontId="7" numFmtId="0" xfId="0" applyAlignment="1" applyBorder="1" applyFont="1">
      <alignment horizontal="center" readingOrder="0" shrinkToFit="0" vertical="center" wrapText="0"/>
    </xf>
    <xf borderId="18" fillId="3" fontId="5" numFmtId="0" xfId="0" applyAlignment="1" applyBorder="1" applyFont="1">
      <alignment horizontal="center" readingOrder="0" shrinkToFit="0" vertical="center" wrapText="0"/>
    </xf>
    <xf borderId="18" fillId="6" fontId="8" numFmtId="0" xfId="0" applyAlignment="1" applyBorder="1" applyFill="1" applyFont="1">
      <alignment horizontal="center" readingOrder="0" vertical="center"/>
    </xf>
    <xf borderId="19" fillId="3" fontId="8" numFmtId="0" xfId="0" applyAlignment="1" applyBorder="1" applyFont="1">
      <alignment horizontal="center" readingOrder="0" vertical="center"/>
    </xf>
    <xf borderId="20" fillId="3" fontId="8" numFmtId="0" xfId="0" applyAlignment="1" applyBorder="1" applyFont="1">
      <alignment horizontal="center" readingOrder="0" vertical="center"/>
    </xf>
    <xf borderId="21" fillId="3" fontId="5" numFmtId="0" xfId="0" applyAlignment="1" applyBorder="1" applyFont="1">
      <alignment horizontal="center" readingOrder="0" shrinkToFit="0" vertical="center" wrapText="0"/>
    </xf>
    <xf borderId="20" fillId="3" fontId="5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horizontal="center" readingOrder="0" shrinkToFit="0" vertical="center" wrapText="0"/>
    </xf>
    <xf borderId="7" fillId="3" fontId="8" numFmtId="0" xfId="0" applyAlignment="1" applyBorder="1" applyFont="1">
      <alignment horizontal="center" readingOrder="0" vertical="center"/>
    </xf>
    <xf borderId="22" fillId="3" fontId="8" numFmtId="0" xfId="0" applyAlignment="1" applyBorder="1" applyFont="1">
      <alignment horizontal="center" readingOrder="0" vertical="center"/>
    </xf>
    <xf borderId="23" fillId="3" fontId="8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readingOrder="0" shrinkToFit="0" vertical="center" wrapText="0"/>
    </xf>
    <xf borderId="23" fillId="3" fontId="5" numFmtId="0" xfId="0" applyAlignment="1" applyBorder="1" applyFont="1">
      <alignment horizontal="center" readingOrder="0" shrinkToFit="0" vertical="center" wrapText="0"/>
    </xf>
    <xf borderId="24" fillId="3" fontId="5" numFmtId="0" xfId="0" applyAlignment="1" applyBorder="1" applyFont="1">
      <alignment horizontal="center" readingOrder="0" shrinkToFit="0" vertical="center" wrapText="0"/>
    </xf>
    <xf borderId="23" fillId="3" fontId="5" numFmtId="0" xfId="0" applyAlignment="1" applyBorder="1" applyFont="1">
      <alignment horizontal="center" readingOrder="0" shrinkToFit="0" vertical="center" wrapText="0"/>
    </xf>
    <xf borderId="24" fillId="3" fontId="5" numFmtId="0" xfId="0" applyAlignment="1" applyBorder="1" applyFont="1">
      <alignment horizontal="center" shrinkToFit="0" vertical="center" wrapText="0"/>
    </xf>
    <xf borderId="23" fillId="3" fontId="5" numFmtId="0" xfId="0" applyAlignment="1" applyBorder="1" applyFont="1">
      <alignment horizontal="center" shrinkToFit="0" vertical="center" wrapText="0"/>
    </xf>
    <xf borderId="9" fillId="3" fontId="5" numFmtId="0" xfId="0" applyAlignment="1" applyBorder="1" applyFont="1">
      <alignment horizontal="center" readingOrder="0" shrinkToFit="0" vertical="center" wrapText="0"/>
    </xf>
    <xf borderId="9" fillId="3" fontId="8" numFmtId="0" xfId="0" applyAlignment="1" applyBorder="1" applyFont="1">
      <alignment horizontal="center" readingOrder="0" vertical="center"/>
    </xf>
    <xf borderId="25" fillId="3" fontId="8" numFmtId="0" xfId="0" applyAlignment="1" applyBorder="1" applyFont="1">
      <alignment horizontal="center" readingOrder="0" vertical="center"/>
    </xf>
    <xf borderId="26" fillId="3" fontId="8" numFmtId="0" xfId="0" applyAlignment="1" applyBorder="1" applyFont="1">
      <alignment horizontal="center" readingOrder="0" vertical="center"/>
    </xf>
    <xf borderId="27" fillId="3" fontId="5" numFmtId="0" xfId="0" applyAlignment="1" applyBorder="1" applyFont="1">
      <alignment horizontal="center" shrinkToFit="0" vertical="center" wrapText="0"/>
    </xf>
    <xf borderId="26" fillId="3" fontId="5" numFmtId="0" xfId="0" applyAlignment="1" applyBorder="1" applyFont="1">
      <alignment horizontal="center" shrinkToFit="0" vertical="center" wrapText="0"/>
    </xf>
    <xf borderId="23" fillId="3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left" readingOrder="0" shrinkToFit="0" vertical="center" wrapText="0"/>
    </xf>
    <xf borderId="1" fillId="4" fontId="4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5" width="17.29"/>
    <col customWidth="1" min="16" max="16" width="3.71"/>
    <col customWidth="1" hidden="1" min="17" max="20" width="14.43"/>
    <col hidden="1" min="21" max="24" width="14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>
      <c r="A2" s="1"/>
      <c r="B2" s="2" t="s">
        <v>0</v>
      </c>
      <c r="C2" s="3"/>
      <c r="D2" s="4"/>
      <c r="E2" s="5">
        <v>3.0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</row>
    <row r="3" ht="15.0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</row>
    <row r="4" ht="26.25" customHeight="1">
      <c r="A4" s="1"/>
      <c r="B4" s="8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</row>
    <row r="5" ht="15.0" customHeight="1">
      <c r="A5" s="1"/>
      <c r="B5" s="9"/>
      <c r="C5" s="9"/>
      <c r="D5" s="10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</row>
    <row r="6" ht="26.25" customHeight="1">
      <c r="A6" s="1"/>
      <c r="B6" s="11" t="s">
        <v>2</v>
      </c>
      <c r="C6" s="12"/>
      <c r="D6" s="13"/>
      <c r="E6" s="12"/>
      <c r="F6" s="14">
        <f>IF($E$2&gt;0,S15,"")</f>
        <v>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</row>
    <row r="7" ht="26.25" customHeight="1">
      <c r="A7" s="1"/>
      <c r="B7" s="15" t="s">
        <v>3</v>
      </c>
      <c r="C7" s="16"/>
      <c r="D7" s="13"/>
      <c r="E7" s="12"/>
      <c r="F7" s="14">
        <f>IF($E$2&gt;1,T15,"")</f>
        <v>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</row>
    <row r="8" ht="26.25" customHeight="1">
      <c r="A8" s="1"/>
      <c r="B8" s="15" t="s">
        <v>4</v>
      </c>
      <c r="C8" s="16"/>
      <c r="D8" s="13"/>
      <c r="E8" s="12"/>
      <c r="F8" s="14">
        <f>IF($E$2&gt;2,U15,"")</f>
        <v>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</row>
    <row r="9" ht="26.25" customHeight="1">
      <c r="A9" s="1"/>
      <c r="B9" s="15" t="s">
        <v>5</v>
      </c>
      <c r="C9" s="16"/>
      <c r="D9" s="13"/>
      <c r="E9" s="12"/>
      <c r="F9" s="14" t="str">
        <f>IF($E$2&gt;3,V15,"")</f>
        <v/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</row>
    <row r="10" ht="26.25" customHeight="1">
      <c r="A10" s="1"/>
      <c r="B10" s="15" t="s">
        <v>6</v>
      </c>
      <c r="C10" s="16"/>
      <c r="D10" s="13"/>
      <c r="E10" s="12"/>
      <c r="F10" s="14" t="str">
        <f>IF($E$2&gt;4,W15,"")</f>
        <v/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  <c r="V10" s="1"/>
      <c r="W10" s="1"/>
      <c r="X10" s="1"/>
    </row>
    <row r="11" ht="26.25" customHeight="1">
      <c r="A11" s="1"/>
      <c r="B11" s="17" t="s">
        <v>7</v>
      </c>
      <c r="C11" s="18"/>
      <c r="D11" s="19"/>
      <c r="E11" s="4"/>
      <c r="F11" s="14" t="str">
        <f>IF($E$2&gt;5,X15,"")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  <c r="V11" s="1"/>
      <c r="W11" s="1"/>
      <c r="X11" s="1"/>
    </row>
    <row r="12" ht="15.0" customHeight="1">
      <c r="A12" s="1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  <c r="V12" s="1"/>
      <c r="W12" s="1"/>
      <c r="X12" s="1"/>
    </row>
    <row r="13" ht="26.25" customHeight="1">
      <c r="A13" s="1"/>
      <c r="B13" s="8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  <c r="V13" s="1"/>
      <c r="W13" s="1"/>
      <c r="X13" s="1"/>
    </row>
    <row r="14" ht="15.0" customHeight="1">
      <c r="A14" s="1"/>
      <c r="B14" s="9"/>
      <c r="C14" s="9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  <c r="V14" s="1"/>
      <c r="W14" s="1"/>
      <c r="X14" s="1"/>
    </row>
    <row r="15" ht="26.25" customHeight="1">
      <c r="A15" s="1"/>
      <c r="B15" s="20" t="s">
        <v>9</v>
      </c>
      <c r="C15" s="20" t="s">
        <v>10</v>
      </c>
      <c r="D15" s="21" t="str">
        <f>D6</f>
        <v/>
      </c>
      <c r="E15" s="22"/>
      <c r="F15" s="21" t="str">
        <f>D7</f>
        <v/>
      </c>
      <c r="G15" s="22"/>
      <c r="H15" s="21" t="str">
        <f>D8</f>
        <v/>
      </c>
      <c r="I15" s="22"/>
      <c r="J15" s="21" t="str">
        <f>D9</f>
        <v/>
      </c>
      <c r="K15" s="22"/>
      <c r="L15" s="21" t="str">
        <f>D10</f>
        <v/>
      </c>
      <c r="M15" s="22"/>
      <c r="N15" s="21" t="str">
        <f>D11</f>
        <v/>
      </c>
      <c r="O15" s="22"/>
      <c r="P15" s="6"/>
      <c r="Q15" s="6"/>
      <c r="R15" s="6"/>
      <c r="S15" s="6">
        <f t="shared" ref="S15:X15" si="1">SUM(IFNA(S17:S36,""))</f>
        <v>0</v>
      </c>
      <c r="T15" s="6">
        <f t="shared" si="1"/>
        <v>0</v>
      </c>
      <c r="U15" s="6">
        <f t="shared" si="1"/>
        <v>0</v>
      </c>
      <c r="V15" s="6">
        <f t="shared" si="1"/>
        <v>0</v>
      </c>
      <c r="W15" s="6">
        <f t="shared" si="1"/>
        <v>0</v>
      </c>
      <c r="X15" s="6">
        <f t="shared" si="1"/>
        <v>0</v>
      </c>
    </row>
    <row r="16" ht="26.25" customHeight="1">
      <c r="A16" s="1"/>
      <c r="B16" s="23"/>
      <c r="C16" s="23"/>
      <c r="D16" s="24" t="s">
        <v>11</v>
      </c>
      <c r="E16" s="25" t="s">
        <v>12</v>
      </c>
      <c r="F16" s="26" t="s">
        <v>11</v>
      </c>
      <c r="G16" s="25" t="s">
        <v>12</v>
      </c>
      <c r="H16" s="26" t="s">
        <v>11</v>
      </c>
      <c r="I16" s="25" t="s">
        <v>12</v>
      </c>
      <c r="J16" s="26" t="s">
        <v>11</v>
      </c>
      <c r="K16" s="25" t="s">
        <v>12</v>
      </c>
      <c r="L16" s="26" t="s">
        <v>11</v>
      </c>
      <c r="M16" s="25" t="s">
        <v>12</v>
      </c>
      <c r="N16" s="26" t="s">
        <v>11</v>
      </c>
      <c r="O16" s="25" t="s">
        <v>12</v>
      </c>
      <c r="P16" s="6"/>
      <c r="Q16" s="7" t="s">
        <v>13</v>
      </c>
      <c r="R16" s="7" t="s">
        <v>14</v>
      </c>
      <c r="S16" s="7" t="s">
        <v>2</v>
      </c>
      <c r="T16" s="7" t="s">
        <v>3</v>
      </c>
      <c r="U16" s="7" t="s">
        <v>4</v>
      </c>
      <c r="V16" s="7" t="s">
        <v>5</v>
      </c>
      <c r="W16" s="7" t="s">
        <v>6</v>
      </c>
      <c r="X16" s="7" t="s">
        <v>7</v>
      </c>
    </row>
    <row r="17" ht="26.25" customHeight="1">
      <c r="A17" s="1"/>
      <c r="B17" s="27">
        <f>if(ISBLANK(E2),"",1)</f>
        <v>1</v>
      </c>
      <c r="C17" s="28"/>
      <c r="D17" s="29"/>
      <c r="E17" s="30"/>
      <c r="F17" s="31"/>
      <c r="G17" s="32"/>
      <c r="H17" s="31"/>
      <c r="I17" s="32"/>
      <c r="J17" s="31"/>
      <c r="K17" s="32"/>
      <c r="L17" s="31"/>
      <c r="M17" s="32"/>
      <c r="N17" s="31"/>
      <c r="O17" s="32"/>
      <c r="P17" s="6"/>
      <c r="Q17" s="6">
        <f t="shared" ref="Q17:R17" si="2">D17+F17+H17+J17+L17+N17</f>
        <v>0</v>
      </c>
      <c r="R17" s="6">
        <f t="shared" si="2"/>
        <v>0</v>
      </c>
      <c r="S17" s="6" t="str">
        <f t="shared" ref="S17:S36" si="4">IF(INDEX($B$6:$B$11,MATCH($C17,$D$6:$D$11, 0))=S$16,$D17*$E$2-$Q17+$R17,$D17*$E$2-$Q17-$E17)</f>
        <v>#N/A</v>
      </c>
      <c r="T17" s="6" t="str">
        <f t="shared" ref="T17:T36" si="5">IF(INDEX($B$6:$B$11,MATCH($C17,$D$6:$D$11, 0))=T$16,$F17*$E$2-$Q17+$R17,$F17*$E$2-$Q17-$G17)</f>
        <v>#N/A</v>
      </c>
      <c r="U17" s="6" t="str">
        <f t="shared" ref="U17:U36" si="6">IF(INDEX($B$6:$B$11,MATCH($C17,$D$6:$D$11, 0))=U$16,$H17*$E$2-$Q17+$R17,$H17*$E$2-$Q17-$I17)</f>
        <v>#N/A</v>
      </c>
      <c r="V17" s="6" t="str">
        <f t="shared" ref="V17:V36" si="7">IF(INDEX($B$6:$B$11,MATCH($C17,$D$6:$D$11, 0))=V$16,$J17*$E$2-$Q17+$R17,$J17*$E$2-$Q17-$K17)</f>
        <v>#N/A</v>
      </c>
      <c r="W17" s="6" t="str">
        <f t="shared" ref="W17:W36" si="8">IF(INDEX($B$6:$B$11,MATCH($C17,$D$6:$D$11, 0))=W$16,$L17*$E$2-$Q17+$R17,$L17*$E$2-$Q17-$M17)</f>
        <v>#N/A</v>
      </c>
      <c r="X17" s="6" t="str">
        <f t="shared" ref="X17:X36" si="9">IF(INDEX($B$6:$B$11,MATCH($C17,$D$6:$D$11, 0))=X$16,$N17*$E$2-$Q17+$R17,$N17*$E$2-$Q17-$O17)</f>
        <v>#N/A</v>
      </c>
    </row>
    <row r="18" ht="26.25" customHeight="1">
      <c r="A18" s="1"/>
      <c r="B18" s="33" t="str">
        <f t="shared" ref="B18:B36" si="10">if(ISBLANK(D17),"",B17+1)</f>
        <v/>
      </c>
      <c r="C18" s="34"/>
      <c r="D18" s="35"/>
      <c r="E18" s="36"/>
      <c r="F18" s="37"/>
      <c r="G18" s="38"/>
      <c r="H18" s="37"/>
      <c r="I18" s="38"/>
      <c r="J18" s="37"/>
      <c r="K18" s="38"/>
      <c r="L18" s="37"/>
      <c r="M18" s="38"/>
      <c r="N18" s="37"/>
      <c r="O18" s="38"/>
      <c r="P18" s="6"/>
      <c r="Q18" s="6">
        <f t="shared" ref="Q18:R18" si="3">D18+F18+H18+J18+L18+N18</f>
        <v>0</v>
      </c>
      <c r="R18" s="6">
        <f t="shared" si="3"/>
        <v>0</v>
      </c>
      <c r="S18" s="6" t="str">
        <f t="shared" si="4"/>
        <v>#N/A</v>
      </c>
      <c r="T18" s="6" t="str">
        <f t="shared" si="5"/>
        <v>#N/A</v>
      </c>
      <c r="U18" s="6" t="str">
        <f t="shared" si="6"/>
        <v>#N/A</v>
      </c>
      <c r="V18" s="6" t="str">
        <f t="shared" si="7"/>
        <v>#N/A</v>
      </c>
      <c r="W18" s="6" t="str">
        <f t="shared" si="8"/>
        <v>#N/A</v>
      </c>
      <c r="X18" s="6" t="str">
        <f t="shared" si="9"/>
        <v>#N/A</v>
      </c>
    </row>
    <row r="19" ht="26.25" customHeight="1">
      <c r="A19" s="1"/>
      <c r="B19" s="33" t="str">
        <f t="shared" si="10"/>
        <v/>
      </c>
      <c r="C19" s="34"/>
      <c r="D19" s="35"/>
      <c r="E19" s="36"/>
      <c r="F19" s="37"/>
      <c r="G19" s="38"/>
      <c r="H19" s="37"/>
      <c r="I19" s="38"/>
      <c r="J19" s="37"/>
      <c r="K19" s="38"/>
      <c r="L19" s="37"/>
      <c r="M19" s="38"/>
      <c r="N19" s="37"/>
      <c r="O19" s="38"/>
      <c r="P19" s="6"/>
      <c r="Q19" s="6">
        <f t="shared" ref="Q19:R19" si="11">D19+F19+H19+J19+L19+N19</f>
        <v>0</v>
      </c>
      <c r="R19" s="6">
        <f t="shared" si="11"/>
        <v>0</v>
      </c>
      <c r="S19" s="6" t="str">
        <f t="shared" si="4"/>
        <v>#N/A</v>
      </c>
      <c r="T19" s="6" t="str">
        <f t="shared" si="5"/>
        <v>#N/A</v>
      </c>
      <c r="U19" s="6" t="str">
        <f t="shared" si="6"/>
        <v>#N/A</v>
      </c>
      <c r="V19" s="6" t="str">
        <f t="shared" si="7"/>
        <v>#N/A</v>
      </c>
      <c r="W19" s="6" t="str">
        <f t="shared" si="8"/>
        <v>#N/A</v>
      </c>
      <c r="X19" s="6" t="str">
        <f t="shared" si="9"/>
        <v>#N/A</v>
      </c>
    </row>
    <row r="20" ht="26.25" customHeight="1">
      <c r="A20" s="1"/>
      <c r="B20" s="33" t="str">
        <f t="shared" si="10"/>
        <v/>
      </c>
      <c r="C20" s="34"/>
      <c r="D20" s="35"/>
      <c r="E20" s="36"/>
      <c r="F20" s="37"/>
      <c r="G20" s="38"/>
      <c r="H20" s="37"/>
      <c r="I20" s="38"/>
      <c r="J20" s="39"/>
      <c r="K20" s="40"/>
      <c r="L20" s="39"/>
      <c r="M20" s="40"/>
      <c r="N20" s="41"/>
      <c r="O20" s="42"/>
      <c r="P20" s="6"/>
      <c r="Q20" s="6">
        <f t="shared" ref="Q20:R20" si="12">D20+F20+H20+J20+L20+N20</f>
        <v>0</v>
      </c>
      <c r="R20" s="6">
        <f t="shared" si="12"/>
        <v>0</v>
      </c>
      <c r="S20" s="6" t="str">
        <f t="shared" si="4"/>
        <v>#N/A</v>
      </c>
      <c r="T20" s="6" t="str">
        <f t="shared" si="5"/>
        <v>#N/A</v>
      </c>
      <c r="U20" s="6" t="str">
        <f t="shared" si="6"/>
        <v>#N/A</v>
      </c>
      <c r="V20" s="6" t="str">
        <f t="shared" si="7"/>
        <v>#N/A</v>
      </c>
      <c r="W20" s="6" t="str">
        <f t="shared" si="8"/>
        <v>#N/A</v>
      </c>
      <c r="X20" s="6" t="str">
        <f t="shared" si="9"/>
        <v>#N/A</v>
      </c>
    </row>
    <row r="21" ht="26.25" customHeight="1">
      <c r="A21" s="1"/>
      <c r="B21" s="33" t="str">
        <f t="shared" si="10"/>
        <v/>
      </c>
      <c r="C21" s="34"/>
      <c r="D21" s="35"/>
      <c r="E21" s="36"/>
      <c r="F21" s="37"/>
      <c r="G21" s="38"/>
      <c r="H21" s="37"/>
      <c r="I21" s="38"/>
      <c r="J21" s="39"/>
      <c r="K21" s="40"/>
      <c r="L21" s="39"/>
      <c r="M21" s="40"/>
      <c r="N21" s="41"/>
      <c r="O21" s="42"/>
      <c r="P21" s="6"/>
      <c r="Q21" s="6">
        <f t="shared" ref="Q21:R21" si="13">D21+F21+H21+J21+L21+N21</f>
        <v>0</v>
      </c>
      <c r="R21" s="6">
        <f t="shared" si="13"/>
        <v>0</v>
      </c>
      <c r="S21" s="6" t="str">
        <f t="shared" si="4"/>
        <v>#N/A</v>
      </c>
      <c r="T21" s="6" t="str">
        <f t="shared" si="5"/>
        <v>#N/A</v>
      </c>
      <c r="U21" s="6" t="str">
        <f t="shared" si="6"/>
        <v>#N/A</v>
      </c>
      <c r="V21" s="6" t="str">
        <f t="shared" si="7"/>
        <v>#N/A</v>
      </c>
      <c r="W21" s="6" t="str">
        <f t="shared" si="8"/>
        <v>#N/A</v>
      </c>
      <c r="X21" s="6" t="str">
        <f t="shared" si="9"/>
        <v>#N/A</v>
      </c>
    </row>
    <row r="22" ht="26.25" customHeight="1">
      <c r="A22" s="1"/>
      <c r="B22" s="33" t="str">
        <f t="shared" si="10"/>
        <v/>
      </c>
      <c r="C22" s="34"/>
      <c r="D22" s="35"/>
      <c r="E22" s="36"/>
      <c r="F22" s="37"/>
      <c r="G22" s="38"/>
      <c r="H22" s="37"/>
      <c r="I22" s="38"/>
      <c r="J22" s="41"/>
      <c r="K22" s="42"/>
      <c r="L22" s="41"/>
      <c r="M22" s="42"/>
      <c r="N22" s="41"/>
      <c r="O22" s="42"/>
      <c r="P22" s="6"/>
      <c r="Q22" s="6">
        <f t="shared" ref="Q22:R22" si="14">D22+F22+H22+J22+L22+N22</f>
        <v>0</v>
      </c>
      <c r="R22" s="6">
        <f t="shared" si="14"/>
        <v>0</v>
      </c>
      <c r="S22" s="6" t="str">
        <f t="shared" si="4"/>
        <v>#N/A</v>
      </c>
      <c r="T22" s="6" t="str">
        <f t="shared" si="5"/>
        <v>#N/A</v>
      </c>
      <c r="U22" s="6" t="str">
        <f t="shared" si="6"/>
        <v>#N/A</v>
      </c>
      <c r="V22" s="6" t="str">
        <f t="shared" si="7"/>
        <v>#N/A</v>
      </c>
      <c r="W22" s="6" t="str">
        <f t="shared" si="8"/>
        <v>#N/A</v>
      </c>
      <c r="X22" s="6" t="str">
        <f t="shared" si="9"/>
        <v>#N/A</v>
      </c>
    </row>
    <row r="23" ht="26.25" customHeight="1">
      <c r="A23" s="1"/>
      <c r="B23" s="33" t="str">
        <f t="shared" si="10"/>
        <v/>
      </c>
      <c r="C23" s="34"/>
      <c r="D23" s="35"/>
      <c r="E23" s="36"/>
      <c r="F23" s="41"/>
      <c r="G23" s="42"/>
      <c r="H23" s="41"/>
      <c r="I23" s="42"/>
      <c r="J23" s="41"/>
      <c r="K23" s="42"/>
      <c r="L23" s="41"/>
      <c r="M23" s="42"/>
      <c r="N23" s="41"/>
      <c r="O23" s="42"/>
      <c r="P23" s="6"/>
      <c r="Q23" s="6">
        <f t="shared" ref="Q23:R23" si="15">D23+F23+H23+J23+L23+N23</f>
        <v>0</v>
      </c>
      <c r="R23" s="6">
        <f t="shared" si="15"/>
        <v>0</v>
      </c>
      <c r="S23" s="6" t="str">
        <f t="shared" si="4"/>
        <v>#N/A</v>
      </c>
      <c r="T23" s="6" t="str">
        <f t="shared" si="5"/>
        <v>#N/A</v>
      </c>
      <c r="U23" s="6" t="str">
        <f t="shared" si="6"/>
        <v>#N/A</v>
      </c>
      <c r="V23" s="6" t="str">
        <f t="shared" si="7"/>
        <v>#N/A</v>
      </c>
      <c r="W23" s="6" t="str">
        <f t="shared" si="8"/>
        <v>#N/A</v>
      </c>
      <c r="X23" s="6" t="str">
        <f t="shared" si="9"/>
        <v>#N/A</v>
      </c>
    </row>
    <row r="24" ht="26.25" customHeight="1">
      <c r="A24" s="1"/>
      <c r="B24" s="33" t="str">
        <f t="shared" si="10"/>
        <v/>
      </c>
      <c r="C24" s="34"/>
      <c r="D24" s="35"/>
      <c r="E24" s="36"/>
      <c r="F24" s="41"/>
      <c r="G24" s="42"/>
      <c r="H24" s="41"/>
      <c r="I24" s="42"/>
      <c r="J24" s="41"/>
      <c r="K24" s="42"/>
      <c r="L24" s="41"/>
      <c r="M24" s="42"/>
      <c r="N24" s="41"/>
      <c r="O24" s="42"/>
      <c r="P24" s="6"/>
      <c r="Q24" s="6">
        <f t="shared" ref="Q24:R24" si="16">D24+F24+H24+J24+L24+N24</f>
        <v>0</v>
      </c>
      <c r="R24" s="6">
        <f t="shared" si="16"/>
        <v>0</v>
      </c>
      <c r="S24" s="6" t="str">
        <f t="shared" si="4"/>
        <v>#N/A</v>
      </c>
      <c r="T24" s="6" t="str">
        <f t="shared" si="5"/>
        <v>#N/A</v>
      </c>
      <c r="U24" s="6" t="str">
        <f t="shared" si="6"/>
        <v>#N/A</v>
      </c>
      <c r="V24" s="6" t="str">
        <f t="shared" si="7"/>
        <v>#N/A</v>
      </c>
      <c r="W24" s="6" t="str">
        <f t="shared" si="8"/>
        <v>#N/A</v>
      </c>
      <c r="X24" s="6" t="str">
        <f t="shared" si="9"/>
        <v>#N/A</v>
      </c>
    </row>
    <row r="25" ht="26.25" customHeight="1">
      <c r="A25" s="1"/>
      <c r="B25" s="33" t="str">
        <f t="shared" si="10"/>
        <v/>
      </c>
      <c r="C25" s="34"/>
      <c r="D25" s="35"/>
      <c r="E25" s="36"/>
      <c r="F25" s="41"/>
      <c r="G25" s="42"/>
      <c r="H25" s="41"/>
      <c r="I25" s="42"/>
      <c r="J25" s="41"/>
      <c r="K25" s="42"/>
      <c r="L25" s="41"/>
      <c r="M25" s="42"/>
      <c r="N25" s="41"/>
      <c r="O25" s="42"/>
      <c r="P25" s="6"/>
      <c r="Q25" s="6">
        <f t="shared" ref="Q25:R25" si="17">D25+F25+H25+J25+L25+N25</f>
        <v>0</v>
      </c>
      <c r="R25" s="6">
        <f t="shared" si="17"/>
        <v>0</v>
      </c>
      <c r="S25" s="6" t="str">
        <f t="shared" si="4"/>
        <v>#N/A</v>
      </c>
      <c r="T25" s="6" t="str">
        <f t="shared" si="5"/>
        <v>#N/A</v>
      </c>
      <c r="U25" s="6" t="str">
        <f t="shared" si="6"/>
        <v>#N/A</v>
      </c>
      <c r="V25" s="6" t="str">
        <f t="shared" si="7"/>
        <v>#N/A</v>
      </c>
      <c r="W25" s="6" t="str">
        <f t="shared" si="8"/>
        <v>#N/A</v>
      </c>
      <c r="X25" s="6" t="str">
        <f t="shared" si="9"/>
        <v>#N/A</v>
      </c>
    </row>
    <row r="26" ht="26.25" customHeight="1">
      <c r="A26" s="1"/>
      <c r="B26" s="33" t="str">
        <f t="shared" si="10"/>
        <v/>
      </c>
      <c r="C26" s="34"/>
      <c r="D26" s="35"/>
      <c r="E26" s="36"/>
      <c r="F26" s="41"/>
      <c r="G26" s="42"/>
      <c r="H26" s="41"/>
      <c r="I26" s="42"/>
      <c r="J26" s="41"/>
      <c r="K26" s="42"/>
      <c r="L26" s="41"/>
      <c r="M26" s="42"/>
      <c r="N26" s="41"/>
      <c r="O26" s="42"/>
      <c r="P26" s="6"/>
      <c r="Q26" s="6">
        <f t="shared" ref="Q26:R26" si="18">D26+F26+H26+J26+L26+N26</f>
        <v>0</v>
      </c>
      <c r="R26" s="6">
        <f t="shared" si="18"/>
        <v>0</v>
      </c>
      <c r="S26" s="6" t="str">
        <f t="shared" si="4"/>
        <v>#N/A</v>
      </c>
      <c r="T26" s="6" t="str">
        <f t="shared" si="5"/>
        <v>#N/A</v>
      </c>
      <c r="U26" s="6" t="str">
        <f t="shared" si="6"/>
        <v>#N/A</v>
      </c>
      <c r="V26" s="6" t="str">
        <f t="shared" si="7"/>
        <v>#N/A</v>
      </c>
      <c r="W26" s="6" t="str">
        <f t="shared" si="8"/>
        <v>#N/A</v>
      </c>
      <c r="X26" s="6" t="str">
        <f t="shared" si="9"/>
        <v>#N/A</v>
      </c>
    </row>
    <row r="27" ht="26.25" customHeight="1">
      <c r="A27" s="1"/>
      <c r="B27" s="33" t="str">
        <f t="shared" si="10"/>
        <v/>
      </c>
      <c r="C27" s="34"/>
      <c r="D27" s="35"/>
      <c r="E27" s="36"/>
      <c r="F27" s="41"/>
      <c r="G27" s="42"/>
      <c r="H27" s="41"/>
      <c r="I27" s="42"/>
      <c r="J27" s="41"/>
      <c r="K27" s="42"/>
      <c r="L27" s="41"/>
      <c r="M27" s="42"/>
      <c r="N27" s="41"/>
      <c r="O27" s="42"/>
      <c r="P27" s="6"/>
      <c r="Q27" s="6">
        <f t="shared" ref="Q27:R27" si="19">D27+F27+H27+J27+L27+N27</f>
        <v>0</v>
      </c>
      <c r="R27" s="6">
        <f t="shared" si="19"/>
        <v>0</v>
      </c>
      <c r="S27" s="6" t="str">
        <f t="shared" si="4"/>
        <v>#N/A</v>
      </c>
      <c r="T27" s="6" t="str">
        <f t="shared" si="5"/>
        <v>#N/A</v>
      </c>
      <c r="U27" s="6" t="str">
        <f t="shared" si="6"/>
        <v>#N/A</v>
      </c>
      <c r="V27" s="6" t="str">
        <f t="shared" si="7"/>
        <v>#N/A</v>
      </c>
      <c r="W27" s="6" t="str">
        <f t="shared" si="8"/>
        <v>#N/A</v>
      </c>
      <c r="X27" s="6" t="str">
        <f t="shared" si="9"/>
        <v>#N/A</v>
      </c>
    </row>
    <row r="28" ht="26.25" customHeight="1">
      <c r="A28" s="1"/>
      <c r="B28" s="33" t="str">
        <f t="shared" si="10"/>
        <v/>
      </c>
      <c r="C28" s="34"/>
      <c r="D28" s="35"/>
      <c r="E28" s="36"/>
      <c r="F28" s="41"/>
      <c r="G28" s="42"/>
      <c r="H28" s="41"/>
      <c r="I28" s="42"/>
      <c r="J28" s="41"/>
      <c r="K28" s="42"/>
      <c r="L28" s="41"/>
      <c r="M28" s="42"/>
      <c r="N28" s="41"/>
      <c r="O28" s="42"/>
      <c r="P28" s="6"/>
      <c r="Q28" s="6">
        <f t="shared" ref="Q28:R28" si="20">D28+F28+H28+J28+L28+N28</f>
        <v>0</v>
      </c>
      <c r="R28" s="6">
        <f t="shared" si="20"/>
        <v>0</v>
      </c>
      <c r="S28" s="6" t="str">
        <f t="shared" si="4"/>
        <v>#N/A</v>
      </c>
      <c r="T28" s="6" t="str">
        <f t="shared" si="5"/>
        <v>#N/A</v>
      </c>
      <c r="U28" s="6" t="str">
        <f t="shared" si="6"/>
        <v>#N/A</v>
      </c>
      <c r="V28" s="6" t="str">
        <f t="shared" si="7"/>
        <v>#N/A</v>
      </c>
      <c r="W28" s="6" t="str">
        <f t="shared" si="8"/>
        <v>#N/A</v>
      </c>
      <c r="X28" s="6" t="str">
        <f t="shared" si="9"/>
        <v>#N/A</v>
      </c>
    </row>
    <row r="29" ht="26.25" customHeight="1">
      <c r="A29" s="1"/>
      <c r="B29" s="33" t="str">
        <f t="shared" si="10"/>
        <v/>
      </c>
      <c r="C29" s="34"/>
      <c r="D29" s="35"/>
      <c r="E29" s="36"/>
      <c r="F29" s="41"/>
      <c r="G29" s="42"/>
      <c r="H29" s="41"/>
      <c r="I29" s="42"/>
      <c r="J29" s="41"/>
      <c r="K29" s="42"/>
      <c r="L29" s="41"/>
      <c r="M29" s="42"/>
      <c r="N29" s="41"/>
      <c r="O29" s="42"/>
      <c r="P29" s="6"/>
      <c r="Q29" s="6">
        <f t="shared" ref="Q29:R29" si="21">D29+F29+H29+J29+L29+N29</f>
        <v>0</v>
      </c>
      <c r="R29" s="6">
        <f t="shared" si="21"/>
        <v>0</v>
      </c>
      <c r="S29" s="6" t="str">
        <f t="shared" si="4"/>
        <v>#N/A</v>
      </c>
      <c r="T29" s="6" t="str">
        <f t="shared" si="5"/>
        <v>#N/A</v>
      </c>
      <c r="U29" s="6" t="str">
        <f t="shared" si="6"/>
        <v>#N/A</v>
      </c>
      <c r="V29" s="6" t="str">
        <f t="shared" si="7"/>
        <v>#N/A</v>
      </c>
      <c r="W29" s="6" t="str">
        <f t="shared" si="8"/>
        <v>#N/A</v>
      </c>
      <c r="X29" s="6" t="str">
        <f t="shared" si="9"/>
        <v>#N/A</v>
      </c>
    </row>
    <row r="30" ht="26.25" customHeight="1">
      <c r="A30" s="1"/>
      <c r="B30" s="33" t="str">
        <f t="shared" si="10"/>
        <v/>
      </c>
      <c r="C30" s="34"/>
      <c r="D30" s="35"/>
      <c r="E30" s="36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6"/>
      <c r="Q30" s="6">
        <f t="shared" ref="Q30:R30" si="22">D30+F30+H30+J30+L30+N30</f>
        <v>0</v>
      </c>
      <c r="R30" s="6">
        <f t="shared" si="22"/>
        <v>0</v>
      </c>
      <c r="S30" s="6" t="str">
        <f t="shared" si="4"/>
        <v>#N/A</v>
      </c>
      <c r="T30" s="6" t="str">
        <f t="shared" si="5"/>
        <v>#N/A</v>
      </c>
      <c r="U30" s="6" t="str">
        <f t="shared" si="6"/>
        <v>#N/A</v>
      </c>
      <c r="V30" s="6" t="str">
        <f t="shared" si="7"/>
        <v>#N/A</v>
      </c>
      <c r="W30" s="6" t="str">
        <f t="shared" si="8"/>
        <v>#N/A</v>
      </c>
      <c r="X30" s="6" t="str">
        <f t="shared" si="9"/>
        <v>#N/A</v>
      </c>
    </row>
    <row r="31" ht="26.25" customHeight="1">
      <c r="A31" s="1"/>
      <c r="B31" s="33" t="str">
        <f t="shared" si="10"/>
        <v/>
      </c>
      <c r="C31" s="34"/>
      <c r="D31" s="35"/>
      <c r="E31" s="36"/>
      <c r="F31" s="41"/>
      <c r="G31" s="42"/>
      <c r="H31" s="41"/>
      <c r="I31" s="42"/>
      <c r="J31" s="41"/>
      <c r="K31" s="42"/>
      <c r="L31" s="41"/>
      <c r="M31" s="42"/>
      <c r="N31" s="41"/>
      <c r="O31" s="42"/>
      <c r="P31" s="6"/>
      <c r="Q31" s="6">
        <f t="shared" ref="Q31:R31" si="23">D31+F31+H31+J31+L31+N31</f>
        <v>0</v>
      </c>
      <c r="R31" s="6">
        <f t="shared" si="23"/>
        <v>0</v>
      </c>
      <c r="S31" s="6" t="str">
        <f t="shared" si="4"/>
        <v>#N/A</v>
      </c>
      <c r="T31" s="6" t="str">
        <f t="shared" si="5"/>
        <v>#N/A</v>
      </c>
      <c r="U31" s="6" t="str">
        <f t="shared" si="6"/>
        <v>#N/A</v>
      </c>
      <c r="V31" s="6" t="str">
        <f t="shared" si="7"/>
        <v>#N/A</v>
      </c>
      <c r="W31" s="6" t="str">
        <f t="shared" si="8"/>
        <v>#N/A</v>
      </c>
      <c r="X31" s="6" t="str">
        <f t="shared" si="9"/>
        <v>#N/A</v>
      </c>
    </row>
    <row r="32" ht="26.25" customHeight="1">
      <c r="A32" s="1"/>
      <c r="B32" s="33" t="str">
        <f t="shared" si="10"/>
        <v/>
      </c>
      <c r="C32" s="34"/>
      <c r="D32" s="35"/>
      <c r="E32" s="36"/>
      <c r="F32" s="41"/>
      <c r="G32" s="42"/>
      <c r="H32" s="41"/>
      <c r="I32" s="42"/>
      <c r="J32" s="41"/>
      <c r="K32" s="42"/>
      <c r="L32" s="41"/>
      <c r="M32" s="42"/>
      <c r="N32" s="41"/>
      <c r="O32" s="42"/>
      <c r="P32" s="6"/>
      <c r="Q32" s="6">
        <f t="shared" ref="Q32:R32" si="24">D32+F32+H32+J32+L32+N32</f>
        <v>0</v>
      </c>
      <c r="R32" s="6">
        <f t="shared" si="24"/>
        <v>0</v>
      </c>
      <c r="S32" s="6" t="str">
        <f t="shared" si="4"/>
        <v>#N/A</v>
      </c>
      <c r="T32" s="6" t="str">
        <f t="shared" si="5"/>
        <v>#N/A</v>
      </c>
      <c r="U32" s="6" t="str">
        <f t="shared" si="6"/>
        <v>#N/A</v>
      </c>
      <c r="V32" s="6" t="str">
        <f t="shared" si="7"/>
        <v>#N/A</v>
      </c>
      <c r="W32" s="6" t="str">
        <f t="shared" si="8"/>
        <v>#N/A</v>
      </c>
      <c r="X32" s="6" t="str">
        <f t="shared" si="9"/>
        <v>#N/A</v>
      </c>
    </row>
    <row r="33" ht="26.25" customHeight="1">
      <c r="A33" s="1"/>
      <c r="B33" s="33" t="str">
        <f t="shared" si="10"/>
        <v/>
      </c>
      <c r="C33" s="34"/>
      <c r="D33" s="35"/>
      <c r="E33" s="36"/>
      <c r="F33" s="41"/>
      <c r="G33" s="42"/>
      <c r="H33" s="41"/>
      <c r="I33" s="42"/>
      <c r="J33" s="41"/>
      <c r="K33" s="42"/>
      <c r="L33" s="41"/>
      <c r="M33" s="42"/>
      <c r="N33" s="41"/>
      <c r="O33" s="42"/>
      <c r="P33" s="6"/>
      <c r="Q33" s="6">
        <f t="shared" ref="Q33:R33" si="25">D33+F33+H33+J33+L33+N33</f>
        <v>0</v>
      </c>
      <c r="R33" s="6">
        <f t="shared" si="25"/>
        <v>0</v>
      </c>
      <c r="S33" s="6" t="str">
        <f t="shared" si="4"/>
        <v>#N/A</v>
      </c>
      <c r="T33" s="6" t="str">
        <f t="shared" si="5"/>
        <v>#N/A</v>
      </c>
      <c r="U33" s="6" t="str">
        <f t="shared" si="6"/>
        <v>#N/A</v>
      </c>
      <c r="V33" s="6" t="str">
        <f t="shared" si="7"/>
        <v>#N/A</v>
      </c>
      <c r="W33" s="6" t="str">
        <f t="shared" si="8"/>
        <v>#N/A</v>
      </c>
      <c r="X33" s="6" t="str">
        <f t="shared" si="9"/>
        <v>#N/A</v>
      </c>
    </row>
    <row r="34" ht="26.25" customHeight="1">
      <c r="A34" s="1"/>
      <c r="B34" s="33" t="str">
        <f t="shared" si="10"/>
        <v/>
      </c>
      <c r="C34" s="34"/>
      <c r="D34" s="35"/>
      <c r="E34" s="36"/>
      <c r="F34" s="41"/>
      <c r="G34" s="42"/>
      <c r="H34" s="41"/>
      <c r="I34" s="42"/>
      <c r="J34" s="41"/>
      <c r="K34" s="42"/>
      <c r="L34" s="41"/>
      <c r="M34" s="42"/>
      <c r="N34" s="41"/>
      <c r="O34" s="42"/>
      <c r="P34" s="6"/>
      <c r="Q34" s="6">
        <f t="shared" ref="Q34:R34" si="26">D34+F34+H34+J34+L34+N34</f>
        <v>0</v>
      </c>
      <c r="R34" s="6">
        <f t="shared" si="26"/>
        <v>0</v>
      </c>
      <c r="S34" s="6" t="str">
        <f t="shared" si="4"/>
        <v>#N/A</v>
      </c>
      <c r="T34" s="6" t="str">
        <f t="shared" si="5"/>
        <v>#N/A</v>
      </c>
      <c r="U34" s="6" t="str">
        <f t="shared" si="6"/>
        <v>#N/A</v>
      </c>
      <c r="V34" s="6" t="str">
        <f t="shared" si="7"/>
        <v>#N/A</v>
      </c>
      <c r="W34" s="6" t="str">
        <f t="shared" si="8"/>
        <v>#N/A</v>
      </c>
      <c r="X34" s="6" t="str">
        <f t="shared" si="9"/>
        <v>#N/A</v>
      </c>
    </row>
    <row r="35" ht="26.25" customHeight="1">
      <c r="A35" s="1"/>
      <c r="B35" s="33" t="str">
        <f t="shared" si="10"/>
        <v/>
      </c>
      <c r="C35" s="34"/>
      <c r="D35" s="35"/>
      <c r="E35" s="36"/>
      <c r="F35" s="41"/>
      <c r="G35" s="42"/>
      <c r="H35" s="41"/>
      <c r="I35" s="42"/>
      <c r="J35" s="41"/>
      <c r="K35" s="42"/>
      <c r="L35" s="41"/>
      <c r="M35" s="42"/>
      <c r="N35" s="41"/>
      <c r="O35" s="42"/>
      <c r="P35" s="6"/>
      <c r="Q35" s="6">
        <f t="shared" ref="Q35:R35" si="27">D35+F35+H35+J35+L35+N35</f>
        <v>0</v>
      </c>
      <c r="R35" s="6">
        <f t="shared" si="27"/>
        <v>0</v>
      </c>
      <c r="S35" s="6" t="str">
        <f t="shared" si="4"/>
        <v>#N/A</v>
      </c>
      <c r="T35" s="6" t="str">
        <f t="shared" si="5"/>
        <v>#N/A</v>
      </c>
      <c r="U35" s="6" t="str">
        <f t="shared" si="6"/>
        <v>#N/A</v>
      </c>
      <c r="V35" s="6" t="str">
        <f t="shared" si="7"/>
        <v>#N/A</v>
      </c>
      <c r="W35" s="6" t="str">
        <f t="shared" si="8"/>
        <v>#N/A</v>
      </c>
      <c r="X35" s="6" t="str">
        <f t="shared" si="9"/>
        <v>#N/A</v>
      </c>
    </row>
    <row r="36" ht="26.25" customHeight="1">
      <c r="A36" s="1"/>
      <c r="B36" s="43" t="str">
        <f t="shared" si="10"/>
        <v/>
      </c>
      <c r="C36" s="44"/>
      <c r="D36" s="45"/>
      <c r="E36" s="46"/>
      <c r="F36" s="47"/>
      <c r="G36" s="48"/>
      <c r="H36" s="47"/>
      <c r="I36" s="48"/>
      <c r="J36" s="47"/>
      <c r="K36" s="48"/>
      <c r="L36" s="47"/>
      <c r="M36" s="48"/>
      <c r="N36" s="47"/>
      <c r="O36" s="48"/>
      <c r="P36" s="6"/>
      <c r="Q36" s="6">
        <f t="shared" ref="Q36:R36" si="28">D36+F36+H36+J36+L36+N36</f>
        <v>0</v>
      </c>
      <c r="R36" s="6">
        <f t="shared" si="28"/>
        <v>0</v>
      </c>
      <c r="S36" s="6" t="str">
        <f t="shared" si="4"/>
        <v>#N/A</v>
      </c>
      <c r="T36" s="6" t="str">
        <f t="shared" si="5"/>
        <v>#N/A</v>
      </c>
      <c r="U36" s="6" t="str">
        <f t="shared" si="6"/>
        <v>#N/A</v>
      </c>
      <c r="V36" s="6" t="str">
        <f t="shared" si="7"/>
        <v>#N/A</v>
      </c>
      <c r="W36" s="6" t="str">
        <f t="shared" si="8"/>
        <v>#N/A</v>
      </c>
      <c r="X36" s="6" t="str">
        <f t="shared" si="9"/>
        <v>#N/A</v>
      </c>
    </row>
    <row r="37" ht="15.0" customHeight="1">
      <c r="A37" s="1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</row>
  </sheetData>
  <mergeCells count="23">
    <mergeCell ref="B8:C8"/>
    <mergeCell ref="B9:C9"/>
    <mergeCell ref="B10:C10"/>
    <mergeCell ref="B11:C11"/>
    <mergeCell ref="B15:B16"/>
    <mergeCell ref="C15:C16"/>
    <mergeCell ref="B2:D2"/>
    <mergeCell ref="B4:E4"/>
    <mergeCell ref="B6:C6"/>
    <mergeCell ref="D6:E6"/>
    <mergeCell ref="B7:C7"/>
    <mergeCell ref="D7:E7"/>
    <mergeCell ref="D8:E8"/>
    <mergeCell ref="J15:K15"/>
    <mergeCell ref="L15:M15"/>
    <mergeCell ref="N15:O15"/>
    <mergeCell ref="D9:E9"/>
    <mergeCell ref="D10:E10"/>
    <mergeCell ref="D11:E11"/>
    <mergeCell ref="B13:E13"/>
    <mergeCell ref="D15:E15"/>
    <mergeCell ref="F15:G15"/>
    <mergeCell ref="H15:I15"/>
  </mergeCells>
  <conditionalFormatting sqref="E2">
    <cfRule type="notContainsBlanks" dxfId="0" priority="1">
      <formula>LEN(TRIM(E2))&gt;0</formula>
    </cfRule>
  </conditionalFormatting>
  <conditionalFormatting sqref="D6:E6">
    <cfRule type="expression" dxfId="1" priority="2">
      <formula>AND(ISBLANK(D6:E6),E2&gt;0)</formula>
    </cfRule>
  </conditionalFormatting>
  <conditionalFormatting sqref="G5 G14">
    <cfRule type="notContainsBlanks" dxfId="0" priority="3">
      <formula>LEN(TRIM(G5))&gt;0</formula>
    </cfRule>
  </conditionalFormatting>
  <conditionalFormatting sqref="D7:E7">
    <cfRule type="expression" dxfId="1" priority="4">
      <formula>AND(ISBLANK(D7:E7),E2&gt;1)</formula>
    </cfRule>
  </conditionalFormatting>
  <conditionalFormatting sqref="D8:E8">
    <cfRule type="expression" dxfId="1" priority="5">
      <formula>AND(ISBLANK(D8:E8),E2&gt;2)</formula>
    </cfRule>
  </conditionalFormatting>
  <conditionalFormatting sqref="D9:E9">
    <cfRule type="expression" dxfId="1" priority="6">
      <formula>AND(ISBLANK(D9:E9),E2&gt;3)</formula>
    </cfRule>
  </conditionalFormatting>
  <conditionalFormatting sqref="D10:E10">
    <cfRule type="expression" dxfId="1" priority="7">
      <formula>AND(ISBLANK(D10:E10),E2&gt;4)</formula>
    </cfRule>
  </conditionalFormatting>
  <conditionalFormatting sqref="D11:E11">
    <cfRule type="expression" dxfId="1" priority="8">
      <formula>AND(ISBLANK(D11:E11),E2&gt;5)</formula>
    </cfRule>
  </conditionalFormatting>
  <conditionalFormatting sqref="D6:E6">
    <cfRule type="expression" dxfId="0" priority="9">
      <formula>AND(NOT(ISBLANK(D6:E6)),E2&gt;0)</formula>
    </cfRule>
  </conditionalFormatting>
  <conditionalFormatting sqref="D7:E7">
    <cfRule type="expression" dxfId="0" priority="10">
      <formula>AND(NOT(ISBLANK(D7:E7)),E2&gt;1)</formula>
    </cfRule>
  </conditionalFormatting>
  <conditionalFormatting sqref="D8:E8">
    <cfRule type="expression" dxfId="0" priority="11">
      <formula>AND(NOT(ISBLANK(D8:E8)),E2&gt;2)</formula>
    </cfRule>
  </conditionalFormatting>
  <conditionalFormatting sqref="D9:E9">
    <cfRule type="expression" dxfId="0" priority="12">
      <formula>AND(NOT(ISBLANK(D9:E9)),E2&gt;3)</formula>
    </cfRule>
  </conditionalFormatting>
  <conditionalFormatting sqref="D10:E10">
    <cfRule type="expression" dxfId="0" priority="13">
      <formula>AND(NOT(ISBLANK(D10:E10)),E2&gt;4)</formula>
    </cfRule>
  </conditionalFormatting>
  <conditionalFormatting sqref="D11:E11">
    <cfRule type="expression" dxfId="0" priority="14">
      <formula>AND(NOT(ISBLANK(D11:E11)),E2&gt;5)</formula>
    </cfRule>
  </conditionalFormatting>
  <conditionalFormatting sqref="C18:O36">
    <cfRule type="expression" dxfId="2" priority="15">
      <formula>ISBLANK(C17)</formula>
    </cfRule>
  </conditionalFormatting>
  <conditionalFormatting sqref="C17:O36">
    <cfRule type="notContainsBlanks" dxfId="0" priority="16">
      <formula>LEN(TRIM(C17))&gt;0</formula>
    </cfRule>
  </conditionalFormatting>
  <conditionalFormatting sqref="D17:E36">
    <cfRule type="expression" dxfId="1" priority="17">
      <formula>$E$2&gt;0</formula>
    </cfRule>
  </conditionalFormatting>
  <conditionalFormatting sqref="F17:G36">
    <cfRule type="expression" dxfId="1" priority="18">
      <formula>$E$2&gt;1</formula>
    </cfRule>
  </conditionalFormatting>
  <conditionalFormatting sqref="H17:I36">
    <cfRule type="expression" dxfId="1" priority="19">
      <formula>$E$2&gt;2</formula>
    </cfRule>
  </conditionalFormatting>
  <conditionalFormatting sqref="J17:K36">
    <cfRule type="expression" dxfId="1" priority="20">
      <formula>$E$2&gt;3</formula>
    </cfRule>
  </conditionalFormatting>
  <conditionalFormatting sqref="L17:M36">
    <cfRule type="expression" dxfId="1" priority="21">
      <formula>$E$2&gt;4</formula>
    </cfRule>
  </conditionalFormatting>
  <conditionalFormatting sqref="N17:O36">
    <cfRule type="expression" dxfId="1" priority="22">
      <formula>$E$2&gt;5</formula>
    </cfRule>
  </conditionalFormatting>
  <conditionalFormatting sqref="F6:F11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C18:C36">
    <cfRule type="expression" dxfId="1" priority="24">
      <formula>NOT(ISBLANK(C17))</formula>
    </cfRule>
  </conditionalFormatting>
  <dataValidations>
    <dataValidation type="list" allowBlank="1" showErrorMessage="1" sqref="E2">
      <formula1>"2,3,4,5,6"</formula1>
    </dataValidation>
    <dataValidation type="list" allowBlank="1" showErrorMessage="1" sqref="C17:C36">
      <formula1>Original!$D$6:$D$11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5" width="17.29"/>
    <col customWidth="1" min="16" max="16" width="3.71"/>
    <col customWidth="1" min="17" max="20" width="14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>
      <c r="A2" s="1"/>
      <c r="B2" s="2" t="s">
        <v>0</v>
      </c>
      <c r="C2" s="3"/>
      <c r="D2" s="4"/>
      <c r="E2" s="5">
        <v>4.0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</row>
    <row r="3" ht="15.0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</row>
    <row r="4" ht="26.25" customHeight="1">
      <c r="A4" s="1"/>
      <c r="B4" s="8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</row>
    <row r="5" ht="15.0" customHeight="1">
      <c r="A5" s="1"/>
      <c r="B5" s="9"/>
      <c r="C5" s="9"/>
      <c r="D5" s="10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</row>
    <row r="6" ht="26.25" customHeight="1">
      <c r="A6" s="1"/>
      <c r="B6" s="11" t="s">
        <v>2</v>
      </c>
      <c r="C6" s="12"/>
      <c r="D6" s="13" t="s">
        <v>15</v>
      </c>
      <c r="E6" s="12"/>
      <c r="F6" s="14">
        <f>IF($E$2&gt;0,S15,"")</f>
        <v>-4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</row>
    <row r="7" ht="26.25" customHeight="1">
      <c r="A7" s="1"/>
      <c r="B7" s="15" t="s">
        <v>3</v>
      </c>
      <c r="C7" s="16"/>
      <c r="D7" s="13" t="s">
        <v>16</v>
      </c>
      <c r="E7" s="12"/>
      <c r="F7" s="14">
        <f>IF($E$2&gt;1,T15,"")</f>
        <v>-15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</row>
    <row r="8" ht="26.25" customHeight="1">
      <c r="A8" s="1"/>
      <c r="B8" s="15" t="s">
        <v>4</v>
      </c>
      <c r="C8" s="16"/>
      <c r="D8" s="13" t="s">
        <v>17</v>
      </c>
      <c r="E8" s="12"/>
      <c r="F8" s="14">
        <f>IF($E$2&gt;2,U15,"")</f>
        <v>-26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</row>
    <row r="9" ht="26.25" customHeight="1">
      <c r="A9" s="1"/>
      <c r="B9" s="15" t="s">
        <v>5</v>
      </c>
      <c r="C9" s="16"/>
      <c r="D9" s="13" t="s">
        <v>18</v>
      </c>
      <c r="E9" s="12"/>
      <c r="F9" s="14">
        <f>IF($E$2&gt;3,V15,"")</f>
        <v>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</row>
    <row r="10" ht="26.25" customHeight="1">
      <c r="A10" s="1"/>
      <c r="B10" s="15" t="s">
        <v>6</v>
      </c>
      <c r="C10" s="16"/>
      <c r="D10" s="13"/>
      <c r="E10" s="12"/>
      <c r="F10" s="14" t="str">
        <f>IF($E$2&gt;4,W15,"")</f>
        <v/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  <c r="V10" s="1"/>
      <c r="W10" s="1"/>
      <c r="X10" s="1"/>
    </row>
    <row r="11" ht="26.25" customHeight="1">
      <c r="A11" s="1"/>
      <c r="B11" s="17" t="s">
        <v>7</v>
      </c>
      <c r="C11" s="18"/>
      <c r="D11" s="19"/>
      <c r="E11" s="4"/>
      <c r="F11" s="14" t="str">
        <f>IF($E$2&gt;5,X15,"")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  <c r="V11" s="1"/>
      <c r="W11" s="1"/>
      <c r="X11" s="1"/>
    </row>
    <row r="12" ht="15.0" customHeight="1">
      <c r="A12" s="1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  <c r="V12" s="1"/>
      <c r="W12" s="1"/>
      <c r="X12" s="1"/>
    </row>
    <row r="13" ht="26.25" customHeight="1">
      <c r="A13" s="1"/>
      <c r="B13" s="8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  <c r="V13" s="1"/>
      <c r="W13" s="1"/>
      <c r="X13" s="1"/>
    </row>
    <row r="14" ht="15.0" customHeight="1">
      <c r="A14" s="1"/>
      <c r="B14" s="9"/>
      <c r="C14" s="9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  <c r="V14" s="1"/>
      <c r="W14" s="1"/>
      <c r="X14" s="1"/>
    </row>
    <row r="15" ht="26.25" customHeight="1">
      <c r="A15" s="1"/>
      <c r="B15" s="20" t="s">
        <v>9</v>
      </c>
      <c r="C15" s="20" t="s">
        <v>10</v>
      </c>
      <c r="D15" s="21" t="str">
        <f>D6</f>
        <v>Anon P2</v>
      </c>
      <c r="E15" s="22"/>
      <c r="F15" s="21" t="str">
        <f>D7</f>
        <v>Anon P1</v>
      </c>
      <c r="G15" s="22"/>
      <c r="H15" s="21" t="str">
        <f>D8</f>
        <v>Anon P6</v>
      </c>
      <c r="I15" s="22"/>
      <c r="J15" s="21" t="str">
        <f>D9</f>
        <v>Anon P7</v>
      </c>
      <c r="K15" s="22"/>
      <c r="L15" s="21" t="str">
        <f>D10</f>
        <v/>
      </c>
      <c r="M15" s="22"/>
      <c r="N15" s="21" t="str">
        <f>D11</f>
        <v/>
      </c>
      <c r="O15" s="22"/>
      <c r="P15" s="6"/>
      <c r="Q15" s="6"/>
      <c r="R15" s="6"/>
      <c r="S15" s="6">
        <f t="shared" ref="S15:X15" si="1">SUM(IFNA(S17:S36,""))</f>
        <v>-4</v>
      </c>
      <c r="T15" s="6">
        <f t="shared" si="1"/>
        <v>-15</v>
      </c>
      <c r="U15" s="6">
        <f t="shared" si="1"/>
        <v>-26</v>
      </c>
      <c r="V15" s="6">
        <f t="shared" si="1"/>
        <v>45</v>
      </c>
      <c r="W15" s="6">
        <f t="shared" si="1"/>
        <v>-98</v>
      </c>
      <c r="X15" s="6">
        <f t="shared" si="1"/>
        <v>-98</v>
      </c>
    </row>
    <row r="16" ht="26.25" customHeight="1">
      <c r="A16" s="1"/>
      <c r="B16" s="23"/>
      <c r="C16" s="23"/>
      <c r="D16" s="24" t="s">
        <v>11</v>
      </c>
      <c r="E16" s="25" t="s">
        <v>12</v>
      </c>
      <c r="F16" s="26" t="s">
        <v>11</v>
      </c>
      <c r="G16" s="25" t="s">
        <v>12</v>
      </c>
      <c r="H16" s="26" t="s">
        <v>11</v>
      </c>
      <c r="I16" s="25" t="s">
        <v>12</v>
      </c>
      <c r="J16" s="26" t="s">
        <v>11</v>
      </c>
      <c r="K16" s="25" t="s">
        <v>12</v>
      </c>
      <c r="L16" s="26" t="s">
        <v>11</v>
      </c>
      <c r="M16" s="25" t="s">
        <v>12</v>
      </c>
      <c r="N16" s="26" t="s">
        <v>11</v>
      </c>
      <c r="O16" s="25" t="s">
        <v>12</v>
      </c>
      <c r="P16" s="6"/>
      <c r="Q16" s="7" t="s">
        <v>13</v>
      </c>
      <c r="R16" s="7" t="s">
        <v>14</v>
      </c>
      <c r="S16" s="7" t="s">
        <v>2</v>
      </c>
      <c r="T16" s="7" t="s">
        <v>3</v>
      </c>
      <c r="U16" s="7" t="s">
        <v>4</v>
      </c>
      <c r="V16" s="7" t="s">
        <v>5</v>
      </c>
      <c r="W16" s="7" t="s">
        <v>6</v>
      </c>
      <c r="X16" s="7" t="s">
        <v>7</v>
      </c>
    </row>
    <row r="17" ht="26.25" customHeight="1">
      <c r="A17" s="1"/>
      <c r="B17" s="27">
        <f>if(ISBLANK(E2),"",1)</f>
        <v>1</v>
      </c>
      <c r="C17" s="28" t="s">
        <v>15</v>
      </c>
      <c r="D17" s="29">
        <v>7.0</v>
      </c>
      <c r="E17" s="30">
        <v>0.0</v>
      </c>
      <c r="F17" s="31">
        <v>5.0</v>
      </c>
      <c r="G17" s="32">
        <v>1.0</v>
      </c>
      <c r="H17" s="31">
        <v>6.0</v>
      </c>
      <c r="I17" s="32">
        <v>1.0</v>
      </c>
      <c r="J17" s="31">
        <v>11.0</v>
      </c>
      <c r="K17" s="32">
        <v>1.0</v>
      </c>
      <c r="L17" s="31"/>
      <c r="M17" s="32"/>
      <c r="N17" s="31"/>
      <c r="O17" s="32"/>
      <c r="P17" s="6"/>
      <c r="Q17" s="6">
        <f t="shared" ref="Q17:R17" si="2">D17+F17+H17+J17+L17+N17</f>
        <v>29</v>
      </c>
      <c r="R17" s="6">
        <f t="shared" si="2"/>
        <v>3</v>
      </c>
      <c r="S17" s="6">
        <f t="shared" ref="S17:S36" si="4">IF(INDEX($B$6:$B$11,MATCH($C17,$D$6:$D$11, 0))=S$16,$D17*$E$2-$Q17+$R17,$D17*$E$2-$Q17-$E17)</f>
        <v>2</v>
      </c>
      <c r="T17" s="6">
        <f t="shared" ref="T17:T36" si="5">IF(INDEX($B$6:$B$11,MATCH($C17,$D$6:$D$11, 0))=T$16,$F17*$E$2-$Q17+$R17,$F17*$E$2-$Q17-$G17)</f>
        <v>-10</v>
      </c>
      <c r="U17" s="6">
        <f t="shared" ref="U17:U36" si="6">IF(INDEX($B$6:$B$11,MATCH($C17,$D$6:$D$11, 0))=U$16,$H17*$E$2-$Q17+$R17,$H17*$E$2-$Q17-$I17)</f>
        <v>-6</v>
      </c>
      <c r="V17" s="6">
        <f t="shared" ref="V17:V36" si="7">IF(INDEX($B$6:$B$11,MATCH($C17,$D$6:$D$11, 0))=V$16,$J17*$E$2-$Q17+$R17,$J17*$E$2-$Q17-$K17)</f>
        <v>14</v>
      </c>
      <c r="W17" s="6">
        <f t="shared" ref="W17:W36" si="8">IF(INDEX($B$6:$B$11,MATCH($C17,$D$6:$D$11, 0))=W$16,$L17*$E$2-$Q17+$R17,$L17*$E$2-$Q17-$M17)</f>
        <v>-29</v>
      </c>
      <c r="X17" s="6">
        <f t="shared" ref="X17:X36" si="9">IF(INDEX($B$6:$B$11,MATCH($C17,$D$6:$D$11, 0))=X$16,$N17*$E$2-$Q17+$R17,$N17*$E$2-$Q17-$O17)</f>
        <v>-29</v>
      </c>
    </row>
    <row r="18" ht="26.25" customHeight="1">
      <c r="A18" s="1"/>
      <c r="B18" s="33">
        <f t="shared" ref="B18:B36" si="10">if(ISBLANK(D17),"",B17+1)</f>
        <v>2</v>
      </c>
      <c r="C18" s="34" t="s">
        <v>18</v>
      </c>
      <c r="D18" s="35">
        <v>5.0</v>
      </c>
      <c r="E18" s="36">
        <v>2.0</v>
      </c>
      <c r="F18" s="37">
        <v>7.0</v>
      </c>
      <c r="G18" s="38">
        <v>10.0</v>
      </c>
      <c r="H18" s="37">
        <v>7.0</v>
      </c>
      <c r="I18" s="38">
        <v>9.0</v>
      </c>
      <c r="J18" s="37">
        <v>8.0</v>
      </c>
      <c r="K18" s="38">
        <v>0.0</v>
      </c>
      <c r="L18" s="37"/>
      <c r="M18" s="38"/>
      <c r="N18" s="37"/>
      <c r="O18" s="38"/>
      <c r="P18" s="6"/>
      <c r="Q18" s="6">
        <f t="shared" ref="Q18:R18" si="3">D18+F18+H18+J18+L18+N18</f>
        <v>27</v>
      </c>
      <c r="R18" s="6">
        <f t="shared" si="3"/>
        <v>21</v>
      </c>
      <c r="S18" s="6">
        <f t="shared" si="4"/>
        <v>-9</v>
      </c>
      <c r="T18" s="6">
        <f t="shared" si="5"/>
        <v>-9</v>
      </c>
      <c r="U18" s="6">
        <f t="shared" si="6"/>
        <v>-8</v>
      </c>
      <c r="V18" s="6">
        <f t="shared" si="7"/>
        <v>26</v>
      </c>
      <c r="W18" s="6">
        <f t="shared" si="8"/>
        <v>-27</v>
      </c>
      <c r="X18" s="6">
        <f t="shared" si="9"/>
        <v>-27</v>
      </c>
    </row>
    <row r="19" ht="26.25" customHeight="1">
      <c r="A19" s="1"/>
      <c r="B19" s="33">
        <f t="shared" si="10"/>
        <v>3</v>
      </c>
      <c r="C19" s="34" t="s">
        <v>18</v>
      </c>
      <c r="D19" s="35">
        <v>12.0</v>
      </c>
      <c r="E19" s="36">
        <v>3.0</v>
      </c>
      <c r="F19" s="37">
        <v>12.0</v>
      </c>
      <c r="G19" s="38">
        <v>2.0</v>
      </c>
      <c r="H19" s="37">
        <v>8.0</v>
      </c>
      <c r="I19" s="38">
        <v>2.0</v>
      </c>
      <c r="J19" s="37">
        <v>10.0</v>
      </c>
      <c r="K19" s="38">
        <v>0.0</v>
      </c>
      <c r="L19" s="37"/>
      <c r="M19" s="38"/>
      <c r="N19" s="37"/>
      <c r="O19" s="38"/>
      <c r="P19" s="6"/>
      <c r="Q19" s="6">
        <f t="shared" ref="Q19:R19" si="11">D19+F19+H19+J19+L19+N19</f>
        <v>42</v>
      </c>
      <c r="R19" s="6">
        <f t="shared" si="11"/>
        <v>7</v>
      </c>
      <c r="S19" s="6">
        <f t="shared" si="4"/>
        <v>3</v>
      </c>
      <c r="T19" s="6">
        <f t="shared" si="5"/>
        <v>4</v>
      </c>
      <c r="U19" s="6">
        <f t="shared" si="6"/>
        <v>-12</v>
      </c>
      <c r="V19" s="6">
        <f t="shared" si="7"/>
        <v>5</v>
      </c>
      <c r="W19" s="6">
        <f t="shared" si="8"/>
        <v>-42</v>
      </c>
      <c r="X19" s="6">
        <f t="shared" si="9"/>
        <v>-42</v>
      </c>
    </row>
    <row r="20" ht="26.25" customHeight="1">
      <c r="A20" s="1"/>
      <c r="B20" s="33">
        <f t="shared" si="10"/>
        <v>4</v>
      </c>
      <c r="C20" s="34" t="s">
        <v>16</v>
      </c>
      <c r="D20" s="35"/>
      <c r="E20" s="36"/>
      <c r="F20" s="37"/>
      <c r="G20" s="38"/>
      <c r="H20" s="37"/>
      <c r="I20" s="38"/>
      <c r="J20" s="39"/>
      <c r="K20" s="40"/>
      <c r="L20" s="39"/>
      <c r="M20" s="40"/>
      <c r="N20" s="41"/>
      <c r="O20" s="42"/>
      <c r="P20" s="6"/>
      <c r="Q20" s="6">
        <f t="shared" ref="Q20:R20" si="12">D20+F20+H20+J20+L20+N20</f>
        <v>0</v>
      </c>
      <c r="R20" s="6">
        <f t="shared" si="12"/>
        <v>0</v>
      </c>
      <c r="S20" s="6">
        <f t="shared" si="4"/>
        <v>0</v>
      </c>
      <c r="T20" s="6">
        <f t="shared" si="5"/>
        <v>0</v>
      </c>
      <c r="U20" s="6">
        <f t="shared" si="6"/>
        <v>0</v>
      </c>
      <c r="V20" s="6">
        <f t="shared" si="7"/>
        <v>0</v>
      </c>
      <c r="W20" s="6">
        <f t="shared" si="8"/>
        <v>0</v>
      </c>
      <c r="X20" s="6">
        <f t="shared" si="9"/>
        <v>0</v>
      </c>
    </row>
    <row r="21" ht="26.25" customHeight="1">
      <c r="A21" s="1"/>
      <c r="B21" s="33" t="str">
        <f t="shared" si="10"/>
        <v/>
      </c>
      <c r="C21" s="34"/>
      <c r="D21" s="35"/>
      <c r="E21" s="36"/>
      <c r="F21" s="37"/>
      <c r="G21" s="38"/>
      <c r="H21" s="37"/>
      <c r="I21" s="38"/>
      <c r="J21" s="39"/>
      <c r="K21" s="40"/>
      <c r="L21" s="39"/>
      <c r="M21" s="40"/>
      <c r="N21" s="41"/>
      <c r="O21" s="42"/>
      <c r="P21" s="6"/>
      <c r="Q21" s="6">
        <f t="shared" ref="Q21:R21" si="13">D21+F21+H21+J21+L21+N21</f>
        <v>0</v>
      </c>
      <c r="R21" s="6">
        <f t="shared" si="13"/>
        <v>0</v>
      </c>
      <c r="S21" s="6" t="str">
        <f t="shared" si="4"/>
        <v>#N/A</v>
      </c>
      <c r="T21" s="6" t="str">
        <f t="shared" si="5"/>
        <v>#N/A</v>
      </c>
      <c r="U21" s="6" t="str">
        <f t="shared" si="6"/>
        <v>#N/A</v>
      </c>
      <c r="V21" s="6" t="str">
        <f t="shared" si="7"/>
        <v>#N/A</v>
      </c>
      <c r="W21" s="6" t="str">
        <f t="shared" si="8"/>
        <v>#N/A</v>
      </c>
      <c r="X21" s="6" t="str">
        <f t="shared" si="9"/>
        <v>#N/A</v>
      </c>
    </row>
    <row r="22" ht="26.25" customHeight="1">
      <c r="A22" s="1"/>
      <c r="B22" s="33" t="str">
        <f t="shared" si="10"/>
        <v/>
      </c>
      <c r="C22" s="34"/>
      <c r="D22" s="35"/>
      <c r="E22" s="36"/>
      <c r="F22" s="37"/>
      <c r="G22" s="38"/>
      <c r="H22" s="37"/>
      <c r="I22" s="38"/>
      <c r="J22" s="41"/>
      <c r="K22" s="42"/>
      <c r="L22" s="41"/>
      <c r="M22" s="42"/>
      <c r="N22" s="41"/>
      <c r="O22" s="42"/>
      <c r="P22" s="6"/>
      <c r="Q22" s="6">
        <f t="shared" ref="Q22:R22" si="14">D22+F22+H22+J22+L22+N22</f>
        <v>0</v>
      </c>
      <c r="R22" s="6">
        <f t="shared" si="14"/>
        <v>0</v>
      </c>
      <c r="S22" s="6" t="str">
        <f t="shared" si="4"/>
        <v>#N/A</v>
      </c>
      <c r="T22" s="6" t="str">
        <f t="shared" si="5"/>
        <v>#N/A</v>
      </c>
      <c r="U22" s="6" t="str">
        <f t="shared" si="6"/>
        <v>#N/A</v>
      </c>
      <c r="V22" s="6" t="str">
        <f t="shared" si="7"/>
        <v>#N/A</v>
      </c>
      <c r="W22" s="6" t="str">
        <f t="shared" si="8"/>
        <v>#N/A</v>
      </c>
      <c r="X22" s="6" t="str">
        <f t="shared" si="9"/>
        <v>#N/A</v>
      </c>
    </row>
    <row r="23" ht="26.25" customHeight="1">
      <c r="A23" s="1"/>
      <c r="B23" s="33" t="str">
        <f t="shared" si="10"/>
        <v/>
      </c>
      <c r="C23" s="34"/>
      <c r="D23" s="35"/>
      <c r="E23" s="36"/>
      <c r="F23" s="41"/>
      <c r="G23" s="42"/>
      <c r="H23" s="41"/>
      <c r="I23" s="42"/>
      <c r="J23" s="41"/>
      <c r="K23" s="42"/>
      <c r="L23" s="41"/>
      <c r="M23" s="42"/>
      <c r="N23" s="41"/>
      <c r="O23" s="42"/>
      <c r="P23" s="6"/>
      <c r="Q23" s="6">
        <f t="shared" ref="Q23:R23" si="15">D23+F23+H23+J23+L23+N23</f>
        <v>0</v>
      </c>
      <c r="R23" s="6">
        <f t="shared" si="15"/>
        <v>0</v>
      </c>
      <c r="S23" s="6" t="str">
        <f t="shared" si="4"/>
        <v>#N/A</v>
      </c>
      <c r="T23" s="6" t="str">
        <f t="shared" si="5"/>
        <v>#N/A</v>
      </c>
      <c r="U23" s="6" t="str">
        <f t="shared" si="6"/>
        <v>#N/A</v>
      </c>
      <c r="V23" s="6" t="str">
        <f t="shared" si="7"/>
        <v>#N/A</v>
      </c>
      <c r="W23" s="6" t="str">
        <f t="shared" si="8"/>
        <v>#N/A</v>
      </c>
      <c r="X23" s="6" t="str">
        <f t="shared" si="9"/>
        <v>#N/A</v>
      </c>
    </row>
    <row r="24" ht="26.25" customHeight="1">
      <c r="A24" s="1"/>
      <c r="B24" s="33" t="str">
        <f t="shared" si="10"/>
        <v/>
      </c>
      <c r="C24" s="34"/>
      <c r="D24" s="35"/>
      <c r="E24" s="36"/>
      <c r="F24" s="41"/>
      <c r="G24" s="42"/>
      <c r="H24" s="41"/>
      <c r="I24" s="42"/>
      <c r="J24" s="41"/>
      <c r="K24" s="42"/>
      <c r="L24" s="41"/>
      <c r="M24" s="42"/>
      <c r="N24" s="41"/>
      <c r="O24" s="42"/>
      <c r="P24" s="6"/>
      <c r="Q24" s="6">
        <f t="shared" ref="Q24:R24" si="16">D24+F24+H24+J24+L24+N24</f>
        <v>0</v>
      </c>
      <c r="R24" s="6">
        <f t="shared" si="16"/>
        <v>0</v>
      </c>
      <c r="S24" s="6" t="str">
        <f t="shared" si="4"/>
        <v>#N/A</v>
      </c>
      <c r="T24" s="6" t="str">
        <f t="shared" si="5"/>
        <v>#N/A</v>
      </c>
      <c r="U24" s="6" t="str">
        <f t="shared" si="6"/>
        <v>#N/A</v>
      </c>
      <c r="V24" s="6" t="str">
        <f t="shared" si="7"/>
        <v>#N/A</v>
      </c>
      <c r="W24" s="6" t="str">
        <f t="shared" si="8"/>
        <v>#N/A</v>
      </c>
      <c r="X24" s="6" t="str">
        <f t="shared" si="9"/>
        <v>#N/A</v>
      </c>
    </row>
    <row r="25" ht="26.25" customHeight="1">
      <c r="A25" s="1"/>
      <c r="B25" s="33" t="str">
        <f t="shared" si="10"/>
        <v/>
      </c>
      <c r="C25" s="34"/>
      <c r="D25" s="35"/>
      <c r="E25" s="36"/>
      <c r="F25" s="41"/>
      <c r="G25" s="42"/>
      <c r="H25" s="41"/>
      <c r="I25" s="42"/>
      <c r="J25" s="41"/>
      <c r="K25" s="42"/>
      <c r="L25" s="41"/>
      <c r="M25" s="42"/>
      <c r="N25" s="41"/>
      <c r="O25" s="42"/>
      <c r="P25" s="6"/>
      <c r="Q25" s="6">
        <f t="shared" ref="Q25:R25" si="17">D25+F25+H25+J25+L25+N25</f>
        <v>0</v>
      </c>
      <c r="R25" s="6">
        <f t="shared" si="17"/>
        <v>0</v>
      </c>
      <c r="S25" s="6" t="str">
        <f t="shared" si="4"/>
        <v>#N/A</v>
      </c>
      <c r="T25" s="6" t="str">
        <f t="shared" si="5"/>
        <v>#N/A</v>
      </c>
      <c r="U25" s="6" t="str">
        <f t="shared" si="6"/>
        <v>#N/A</v>
      </c>
      <c r="V25" s="6" t="str">
        <f t="shared" si="7"/>
        <v>#N/A</v>
      </c>
      <c r="W25" s="6" t="str">
        <f t="shared" si="8"/>
        <v>#N/A</v>
      </c>
      <c r="X25" s="6" t="str">
        <f t="shared" si="9"/>
        <v>#N/A</v>
      </c>
    </row>
    <row r="26" ht="26.25" customHeight="1">
      <c r="A26" s="1"/>
      <c r="B26" s="33" t="str">
        <f t="shared" si="10"/>
        <v/>
      </c>
      <c r="C26" s="34"/>
      <c r="D26" s="35"/>
      <c r="E26" s="36"/>
      <c r="F26" s="41"/>
      <c r="G26" s="42"/>
      <c r="H26" s="41"/>
      <c r="I26" s="42"/>
      <c r="J26" s="41"/>
      <c r="K26" s="42"/>
      <c r="L26" s="41"/>
      <c r="M26" s="42"/>
      <c r="N26" s="41"/>
      <c r="O26" s="42"/>
      <c r="P26" s="6"/>
      <c r="Q26" s="6">
        <f t="shared" ref="Q26:R26" si="18">D26+F26+H26+J26+L26+N26</f>
        <v>0</v>
      </c>
      <c r="R26" s="6">
        <f t="shared" si="18"/>
        <v>0</v>
      </c>
      <c r="S26" s="6" t="str">
        <f t="shared" si="4"/>
        <v>#N/A</v>
      </c>
      <c r="T26" s="6" t="str">
        <f t="shared" si="5"/>
        <v>#N/A</v>
      </c>
      <c r="U26" s="6" t="str">
        <f t="shared" si="6"/>
        <v>#N/A</v>
      </c>
      <c r="V26" s="6" t="str">
        <f t="shared" si="7"/>
        <v>#N/A</v>
      </c>
      <c r="W26" s="6" t="str">
        <f t="shared" si="8"/>
        <v>#N/A</v>
      </c>
      <c r="X26" s="6" t="str">
        <f t="shared" si="9"/>
        <v>#N/A</v>
      </c>
    </row>
    <row r="27" ht="26.25" customHeight="1">
      <c r="A27" s="1"/>
      <c r="B27" s="33" t="str">
        <f t="shared" si="10"/>
        <v/>
      </c>
      <c r="C27" s="34"/>
      <c r="D27" s="35"/>
      <c r="E27" s="36"/>
      <c r="F27" s="41"/>
      <c r="G27" s="42"/>
      <c r="H27" s="41"/>
      <c r="I27" s="42"/>
      <c r="J27" s="41"/>
      <c r="K27" s="42"/>
      <c r="L27" s="41"/>
      <c r="M27" s="42"/>
      <c r="N27" s="41"/>
      <c r="O27" s="42"/>
      <c r="P27" s="6"/>
      <c r="Q27" s="6">
        <f t="shared" ref="Q27:R27" si="19">D27+F27+H27+J27+L27+N27</f>
        <v>0</v>
      </c>
      <c r="R27" s="6">
        <f t="shared" si="19"/>
        <v>0</v>
      </c>
      <c r="S27" s="6" t="str">
        <f t="shared" si="4"/>
        <v>#N/A</v>
      </c>
      <c r="T27" s="6" t="str">
        <f t="shared" si="5"/>
        <v>#N/A</v>
      </c>
      <c r="U27" s="6" t="str">
        <f t="shared" si="6"/>
        <v>#N/A</v>
      </c>
      <c r="V27" s="6" t="str">
        <f t="shared" si="7"/>
        <v>#N/A</v>
      </c>
      <c r="W27" s="6" t="str">
        <f t="shared" si="8"/>
        <v>#N/A</v>
      </c>
      <c r="X27" s="6" t="str">
        <f t="shared" si="9"/>
        <v>#N/A</v>
      </c>
    </row>
    <row r="28" ht="26.25" customHeight="1">
      <c r="A28" s="1"/>
      <c r="B28" s="33" t="str">
        <f t="shared" si="10"/>
        <v/>
      </c>
      <c r="C28" s="34"/>
      <c r="D28" s="35"/>
      <c r="E28" s="36"/>
      <c r="F28" s="41"/>
      <c r="G28" s="42"/>
      <c r="H28" s="41"/>
      <c r="I28" s="42"/>
      <c r="J28" s="41"/>
      <c r="K28" s="42"/>
      <c r="L28" s="41"/>
      <c r="M28" s="42"/>
      <c r="N28" s="41"/>
      <c r="O28" s="42"/>
      <c r="P28" s="6"/>
      <c r="Q28" s="6">
        <f t="shared" ref="Q28:R28" si="20">D28+F28+H28+J28+L28+N28</f>
        <v>0</v>
      </c>
      <c r="R28" s="6">
        <f t="shared" si="20"/>
        <v>0</v>
      </c>
      <c r="S28" s="6" t="str">
        <f t="shared" si="4"/>
        <v>#N/A</v>
      </c>
      <c r="T28" s="6" t="str">
        <f t="shared" si="5"/>
        <v>#N/A</v>
      </c>
      <c r="U28" s="6" t="str">
        <f t="shared" si="6"/>
        <v>#N/A</v>
      </c>
      <c r="V28" s="6" t="str">
        <f t="shared" si="7"/>
        <v>#N/A</v>
      </c>
      <c r="W28" s="6" t="str">
        <f t="shared" si="8"/>
        <v>#N/A</v>
      </c>
      <c r="X28" s="6" t="str">
        <f t="shared" si="9"/>
        <v>#N/A</v>
      </c>
    </row>
    <row r="29" ht="26.25" customHeight="1">
      <c r="A29" s="1"/>
      <c r="B29" s="33" t="str">
        <f t="shared" si="10"/>
        <v/>
      </c>
      <c r="C29" s="34"/>
      <c r="D29" s="35"/>
      <c r="E29" s="36"/>
      <c r="F29" s="41"/>
      <c r="G29" s="42"/>
      <c r="H29" s="41"/>
      <c r="I29" s="42"/>
      <c r="J29" s="41"/>
      <c r="K29" s="42"/>
      <c r="L29" s="41"/>
      <c r="M29" s="42"/>
      <c r="N29" s="41"/>
      <c r="O29" s="42"/>
      <c r="P29" s="6"/>
      <c r="Q29" s="6">
        <f t="shared" ref="Q29:R29" si="21">D29+F29+H29+J29+L29+N29</f>
        <v>0</v>
      </c>
      <c r="R29" s="6">
        <f t="shared" si="21"/>
        <v>0</v>
      </c>
      <c r="S29" s="6" t="str">
        <f t="shared" si="4"/>
        <v>#N/A</v>
      </c>
      <c r="T29" s="6" t="str">
        <f t="shared" si="5"/>
        <v>#N/A</v>
      </c>
      <c r="U29" s="6" t="str">
        <f t="shared" si="6"/>
        <v>#N/A</v>
      </c>
      <c r="V29" s="6" t="str">
        <f t="shared" si="7"/>
        <v>#N/A</v>
      </c>
      <c r="W29" s="6" t="str">
        <f t="shared" si="8"/>
        <v>#N/A</v>
      </c>
      <c r="X29" s="6" t="str">
        <f t="shared" si="9"/>
        <v>#N/A</v>
      </c>
    </row>
    <row r="30" ht="26.25" customHeight="1">
      <c r="A30" s="1"/>
      <c r="B30" s="33" t="str">
        <f t="shared" si="10"/>
        <v/>
      </c>
      <c r="C30" s="34"/>
      <c r="D30" s="35"/>
      <c r="E30" s="36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6"/>
      <c r="Q30" s="6">
        <f t="shared" ref="Q30:R30" si="22">D30+F30+H30+J30+L30+N30</f>
        <v>0</v>
      </c>
      <c r="R30" s="6">
        <f t="shared" si="22"/>
        <v>0</v>
      </c>
      <c r="S30" s="6" t="str">
        <f t="shared" si="4"/>
        <v>#N/A</v>
      </c>
      <c r="T30" s="6" t="str">
        <f t="shared" si="5"/>
        <v>#N/A</v>
      </c>
      <c r="U30" s="6" t="str">
        <f t="shared" si="6"/>
        <v>#N/A</v>
      </c>
      <c r="V30" s="6" t="str">
        <f t="shared" si="7"/>
        <v>#N/A</v>
      </c>
      <c r="W30" s="6" t="str">
        <f t="shared" si="8"/>
        <v>#N/A</v>
      </c>
      <c r="X30" s="6" t="str">
        <f t="shared" si="9"/>
        <v>#N/A</v>
      </c>
    </row>
    <row r="31" ht="26.25" customHeight="1">
      <c r="A31" s="1"/>
      <c r="B31" s="33" t="str">
        <f t="shared" si="10"/>
        <v/>
      </c>
      <c r="C31" s="34"/>
      <c r="D31" s="35"/>
      <c r="E31" s="36"/>
      <c r="F31" s="41"/>
      <c r="G31" s="42"/>
      <c r="H31" s="41"/>
      <c r="I31" s="42"/>
      <c r="J31" s="41"/>
      <c r="K31" s="42"/>
      <c r="L31" s="41"/>
      <c r="M31" s="42"/>
      <c r="N31" s="41"/>
      <c r="O31" s="42"/>
      <c r="P31" s="6"/>
      <c r="Q31" s="6">
        <f t="shared" ref="Q31:R31" si="23">D31+F31+H31+J31+L31+N31</f>
        <v>0</v>
      </c>
      <c r="R31" s="6">
        <f t="shared" si="23"/>
        <v>0</v>
      </c>
      <c r="S31" s="6" t="str">
        <f t="shared" si="4"/>
        <v>#N/A</v>
      </c>
      <c r="T31" s="6" t="str">
        <f t="shared" si="5"/>
        <v>#N/A</v>
      </c>
      <c r="U31" s="6" t="str">
        <f t="shared" si="6"/>
        <v>#N/A</v>
      </c>
      <c r="V31" s="6" t="str">
        <f t="shared" si="7"/>
        <v>#N/A</v>
      </c>
      <c r="W31" s="6" t="str">
        <f t="shared" si="8"/>
        <v>#N/A</v>
      </c>
      <c r="X31" s="6" t="str">
        <f t="shared" si="9"/>
        <v>#N/A</v>
      </c>
    </row>
    <row r="32" ht="26.25" customHeight="1">
      <c r="A32" s="1"/>
      <c r="B32" s="33" t="str">
        <f t="shared" si="10"/>
        <v/>
      </c>
      <c r="C32" s="34"/>
      <c r="D32" s="35"/>
      <c r="E32" s="36"/>
      <c r="F32" s="41"/>
      <c r="G32" s="42"/>
      <c r="H32" s="41"/>
      <c r="I32" s="42"/>
      <c r="J32" s="41"/>
      <c r="K32" s="42"/>
      <c r="L32" s="41"/>
      <c r="M32" s="42"/>
      <c r="N32" s="41"/>
      <c r="O32" s="42"/>
      <c r="P32" s="6"/>
      <c r="Q32" s="6">
        <f t="shared" ref="Q32:R32" si="24">D32+F32+H32+J32+L32+N32</f>
        <v>0</v>
      </c>
      <c r="R32" s="6">
        <f t="shared" si="24"/>
        <v>0</v>
      </c>
      <c r="S32" s="6" t="str">
        <f t="shared" si="4"/>
        <v>#N/A</v>
      </c>
      <c r="T32" s="6" t="str">
        <f t="shared" si="5"/>
        <v>#N/A</v>
      </c>
      <c r="U32" s="6" t="str">
        <f t="shared" si="6"/>
        <v>#N/A</v>
      </c>
      <c r="V32" s="6" t="str">
        <f t="shared" si="7"/>
        <v>#N/A</v>
      </c>
      <c r="W32" s="6" t="str">
        <f t="shared" si="8"/>
        <v>#N/A</v>
      </c>
      <c r="X32" s="6" t="str">
        <f t="shared" si="9"/>
        <v>#N/A</v>
      </c>
    </row>
    <row r="33" ht="26.25" customHeight="1">
      <c r="A33" s="1"/>
      <c r="B33" s="33" t="str">
        <f t="shared" si="10"/>
        <v/>
      </c>
      <c r="C33" s="34"/>
      <c r="D33" s="35"/>
      <c r="E33" s="36"/>
      <c r="F33" s="41"/>
      <c r="G33" s="42"/>
      <c r="H33" s="41"/>
      <c r="I33" s="42"/>
      <c r="J33" s="41"/>
      <c r="K33" s="42"/>
      <c r="L33" s="41"/>
      <c r="M33" s="42"/>
      <c r="N33" s="41"/>
      <c r="O33" s="42"/>
      <c r="P33" s="6"/>
      <c r="Q33" s="6">
        <f t="shared" ref="Q33:R33" si="25">D33+F33+H33+J33+L33+N33</f>
        <v>0</v>
      </c>
      <c r="R33" s="6">
        <f t="shared" si="25"/>
        <v>0</v>
      </c>
      <c r="S33" s="6" t="str">
        <f t="shared" si="4"/>
        <v>#N/A</v>
      </c>
      <c r="T33" s="6" t="str">
        <f t="shared" si="5"/>
        <v>#N/A</v>
      </c>
      <c r="U33" s="6" t="str">
        <f t="shared" si="6"/>
        <v>#N/A</v>
      </c>
      <c r="V33" s="6" t="str">
        <f t="shared" si="7"/>
        <v>#N/A</v>
      </c>
      <c r="W33" s="6" t="str">
        <f t="shared" si="8"/>
        <v>#N/A</v>
      </c>
      <c r="X33" s="6" t="str">
        <f t="shared" si="9"/>
        <v>#N/A</v>
      </c>
    </row>
    <row r="34" ht="26.25" customHeight="1">
      <c r="A34" s="1"/>
      <c r="B34" s="33" t="str">
        <f t="shared" si="10"/>
        <v/>
      </c>
      <c r="C34" s="34"/>
      <c r="D34" s="35"/>
      <c r="E34" s="36"/>
      <c r="F34" s="41"/>
      <c r="G34" s="42"/>
      <c r="H34" s="41"/>
      <c r="I34" s="42"/>
      <c r="J34" s="41"/>
      <c r="K34" s="42"/>
      <c r="L34" s="41"/>
      <c r="M34" s="42"/>
      <c r="N34" s="41"/>
      <c r="O34" s="42"/>
      <c r="P34" s="6"/>
      <c r="Q34" s="6">
        <f t="shared" ref="Q34:R34" si="26">D34+F34+H34+J34+L34+N34</f>
        <v>0</v>
      </c>
      <c r="R34" s="6">
        <f t="shared" si="26"/>
        <v>0</v>
      </c>
      <c r="S34" s="6" t="str">
        <f t="shared" si="4"/>
        <v>#N/A</v>
      </c>
      <c r="T34" s="6" t="str">
        <f t="shared" si="5"/>
        <v>#N/A</v>
      </c>
      <c r="U34" s="6" t="str">
        <f t="shared" si="6"/>
        <v>#N/A</v>
      </c>
      <c r="V34" s="6" t="str">
        <f t="shared" si="7"/>
        <v>#N/A</v>
      </c>
      <c r="W34" s="6" t="str">
        <f t="shared" si="8"/>
        <v>#N/A</v>
      </c>
      <c r="X34" s="6" t="str">
        <f t="shared" si="9"/>
        <v>#N/A</v>
      </c>
    </row>
    <row r="35" ht="26.25" customHeight="1">
      <c r="A35" s="1"/>
      <c r="B35" s="33" t="str">
        <f t="shared" si="10"/>
        <v/>
      </c>
      <c r="C35" s="34"/>
      <c r="D35" s="35"/>
      <c r="E35" s="36"/>
      <c r="F35" s="41"/>
      <c r="G35" s="42"/>
      <c r="H35" s="41"/>
      <c r="I35" s="42"/>
      <c r="J35" s="41"/>
      <c r="K35" s="42"/>
      <c r="L35" s="41"/>
      <c r="M35" s="42"/>
      <c r="N35" s="41"/>
      <c r="O35" s="42"/>
      <c r="P35" s="6"/>
      <c r="Q35" s="6">
        <f t="shared" ref="Q35:R35" si="27">D35+F35+H35+J35+L35+N35</f>
        <v>0</v>
      </c>
      <c r="R35" s="6">
        <f t="shared" si="27"/>
        <v>0</v>
      </c>
      <c r="S35" s="6" t="str">
        <f t="shared" si="4"/>
        <v>#N/A</v>
      </c>
      <c r="T35" s="6" t="str">
        <f t="shared" si="5"/>
        <v>#N/A</v>
      </c>
      <c r="U35" s="6" t="str">
        <f t="shared" si="6"/>
        <v>#N/A</v>
      </c>
      <c r="V35" s="6" t="str">
        <f t="shared" si="7"/>
        <v>#N/A</v>
      </c>
      <c r="W35" s="6" t="str">
        <f t="shared" si="8"/>
        <v>#N/A</v>
      </c>
      <c r="X35" s="6" t="str">
        <f t="shared" si="9"/>
        <v>#N/A</v>
      </c>
    </row>
    <row r="36" ht="26.25" customHeight="1">
      <c r="A36" s="1"/>
      <c r="B36" s="43" t="str">
        <f t="shared" si="10"/>
        <v/>
      </c>
      <c r="C36" s="44"/>
      <c r="D36" s="45"/>
      <c r="E36" s="46"/>
      <c r="F36" s="47"/>
      <c r="G36" s="48"/>
      <c r="H36" s="47"/>
      <c r="I36" s="48"/>
      <c r="J36" s="47"/>
      <c r="K36" s="48"/>
      <c r="L36" s="47"/>
      <c r="M36" s="48"/>
      <c r="N36" s="47"/>
      <c r="O36" s="48"/>
      <c r="P36" s="6"/>
      <c r="Q36" s="6">
        <f t="shared" ref="Q36:R36" si="28">D36+F36+H36+J36+L36+N36</f>
        <v>0</v>
      </c>
      <c r="R36" s="6">
        <f t="shared" si="28"/>
        <v>0</v>
      </c>
      <c r="S36" s="6" t="str">
        <f t="shared" si="4"/>
        <v>#N/A</v>
      </c>
      <c r="T36" s="6" t="str">
        <f t="shared" si="5"/>
        <v>#N/A</v>
      </c>
      <c r="U36" s="6" t="str">
        <f t="shared" si="6"/>
        <v>#N/A</v>
      </c>
      <c r="V36" s="6" t="str">
        <f t="shared" si="7"/>
        <v>#N/A</v>
      </c>
      <c r="W36" s="6" t="str">
        <f t="shared" si="8"/>
        <v>#N/A</v>
      </c>
      <c r="X36" s="6" t="str">
        <f t="shared" si="9"/>
        <v>#N/A</v>
      </c>
    </row>
    <row r="37" ht="15.0" customHeight="1">
      <c r="A37" s="1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</row>
  </sheetData>
  <mergeCells count="23">
    <mergeCell ref="B8:C8"/>
    <mergeCell ref="B9:C9"/>
    <mergeCell ref="B10:C10"/>
    <mergeCell ref="B11:C11"/>
    <mergeCell ref="B15:B16"/>
    <mergeCell ref="C15:C16"/>
    <mergeCell ref="B2:D2"/>
    <mergeCell ref="B4:E4"/>
    <mergeCell ref="B6:C6"/>
    <mergeCell ref="D6:E6"/>
    <mergeCell ref="B7:C7"/>
    <mergeCell ref="D7:E7"/>
    <mergeCell ref="D8:E8"/>
    <mergeCell ref="J15:K15"/>
    <mergeCell ref="L15:M15"/>
    <mergeCell ref="N15:O15"/>
    <mergeCell ref="D9:E9"/>
    <mergeCell ref="D10:E10"/>
    <mergeCell ref="D11:E11"/>
    <mergeCell ref="B13:E13"/>
    <mergeCell ref="D15:E15"/>
    <mergeCell ref="F15:G15"/>
    <mergeCell ref="H15:I15"/>
  </mergeCells>
  <conditionalFormatting sqref="E2">
    <cfRule type="notContainsBlanks" dxfId="0" priority="1">
      <formula>LEN(TRIM(E2))&gt;0</formula>
    </cfRule>
  </conditionalFormatting>
  <conditionalFormatting sqref="D6:E6">
    <cfRule type="expression" dxfId="1" priority="2">
      <formula>AND(ISBLANK(D6:E6),E2&gt;0)</formula>
    </cfRule>
  </conditionalFormatting>
  <conditionalFormatting sqref="G5 G14">
    <cfRule type="notContainsBlanks" dxfId="0" priority="3">
      <formula>LEN(TRIM(G5))&gt;0</formula>
    </cfRule>
  </conditionalFormatting>
  <conditionalFormatting sqref="D7:E7">
    <cfRule type="expression" dxfId="1" priority="4">
      <formula>AND(ISBLANK(D7:E7),E2&gt;1)</formula>
    </cfRule>
  </conditionalFormatting>
  <conditionalFormatting sqref="D8:E8">
    <cfRule type="expression" dxfId="1" priority="5">
      <formula>AND(ISBLANK(D8:E8),E2&gt;2)</formula>
    </cfRule>
  </conditionalFormatting>
  <conditionalFormatting sqref="D9:E9">
    <cfRule type="expression" dxfId="1" priority="6">
      <formula>AND(ISBLANK(D9:E9),E2&gt;3)</formula>
    </cfRule>
  </conditionalFormatting>
  <conditionalFormatting sqref="D10:E10">
    <cfRule type="expression" dxfId="1" priority="7">
      <formula>AND(ISBLANK(D10:E10),E2&gt;4)</formula>
    </cfRule>
  </conditionalFormatting>
  <conditionalFormatting sqref="D11:E11">
    <cfRule type="expression" dxfId="1" priority="8">
      <formula>AND(ISBLANK(D11:E11),E2&gt;5)</formula>
    </cfRule>
  </conditionalFormatting>
  <conditionalFormatting sqref="D6:E6">
    <cfRule type="expression" dxfId="0" priority="9">
      <formula>AND(NOT(ISBLANK(D6:E6)),E2&gt;0)</formula>
    </cfRule>
  </conditionalFormatting>
  <conditionalFormatting sqref="D7:E7">
    <cfRule type="expression" dxfId="0" priority="10">
      <formula>AND(NOT(ISBLANK(D7:E7)),E2&gt;1)</formula>
    </cfRule>
  </conditionalFormatting>
  <conditionalFormatting sqref="D8:E8">
    <cfRule type="expression" dxfId="0" priority="11">
      <formula>AND(NOT(ISBLANK(D8:E8)),E2&gt;2)</formula>
    </cfRule>
  </conditionalFormatting>
  <conditionalFormatting sqref="D9:E9">
    <cfRule type="expression" dxfId="0" priority="12">
      <formula>AND(NOT(ISBLANK(D9:E9)),E2&gt;3)</formula>
    </cfRule>
  </conditionalFormatting>
  <conditionalFormatting sqref="D10:E10">
    <cfRule type="expression" dxfId="0" priority="13">
      <formula>AND(NOT(ISBLANK(D10:E10)),E2&gt;4)</formula>
    </cfRule>
  </conditionalFormatting>
  <conditionalFormatting sqref="D11:E11">
    <cfRule type="expression" dxfId="0" priority="14">
      <formula>AND(NOT(ISBLANK(D11:E11)),E2&gt;5)</formula>
    </cfRule>
  </conditionalFormatting>
  <conditionalFormatting sqref="C18:O36">
    <cfRule type="expression" dxfId="2" priority="15">
      <formula>ISBLANK(C17)</formula>
    </cfRule>
  </conditionalFormatting>
  <conditionalFormatting sqref="C17:O36">
    <cfRule type="notContainsBlanks" dxfId="0" priority="16">
      <formula>LEN(TRIM(C17))&gt;0</formula>
    </cfRule>
  </conditionalFormatting>
  <conditionalFormatting sqref="D17:E36">
    <cfRule type="expression" dxfId="1" priority="17">
      <formula>$E$2&gt;0</formula>
    </cfRule>
  </conditionalFormatting>
  <conditionalFormatting sqref="F17:G36">
    <cfRule type="expression" dxfId="1" priority="18">
      <formula>$E$2&gt;1</formula>
    </cfRule>
  </conditionalFormatting>
  <conditionalFormatting sqref="H17:I36">
    <cfRule type="expression" dxfId="1" priority="19">
      <formula>$E$2&gt;2</formula>
    </cfRule>
  </conditionalFormatting>
  <conditionalFormatting sqref="J17:K36">
    <cfRule type="expression" dxfId="1" priority="20">
      <formula>$E$2&gt;3</formula>
    </cfRule>
  </conditionalFormatting>
  <conditionalFormatting sqref="L17:M36">
    <cfRule type="expression" dxfId="1" priority="21">
      <formula>$E$2&gt;4</formula>
    </cfRule>
  </conditionalFormatting>
  <conditionalFormatting sqref="N17:O36">
    <cfRule type="expression" dxfId="1" priority="22">
      <formula>$E$2&gt;5</formula>
    </cfRule>
  </conditionalFormatting>
  <conditionalFormatting sqref="F6:F11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C18:C36">
    <cfRule type="expression" dxfId="1" priority="24">
      <formula>NOT(ISBLANK(C17))</formula>
    </cfRule>
  </conditionalFormatting>
  <dataValidations>
    <dataValidation type="list" allowBlank="1" showErrorMessage="1" sqref="C17:C36">
      <formula1>'02.03.25'!$D$6:$D$11</formula1>
    </dataValidation>
    <dataValidation type="list" allowBlank="1" showErrorMessage="1" sqref="E2">
      <formula1>"2,3,4,5,6"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5" width="17.29"/>
    <col customWidth="1" min="16" max="16" width="3.71"/>
    <col customWidth="1" hidden="1" min="17" max="20" width="14.43"/>
    <col hidden="1" min="21" max="24" width="14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>
      <c r="A2" s="1"/>
      <c r="B2" s="2" t="s">
        <v>0</v>
      </c>
      <c r="C2" s="3"/>
      <c r="D2" s="4"/>
      <c r="E2" s="5">
        <v>5.0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</row>
    <row r="3" ht="15.0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</row>
    <row r="4" ht="26.25" customHeight="1">
      <c r="A4" s="1"/>
      <c r="B4" s="8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</row>
    <row r="5" ht="15.0" customHeight="1">
      <c r="A5" s="1"/>
      <c r="B5" s="9"/>
      <c r="C5" s="9"/>
      <c r="D5" s="10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</row>
    <row r="6" ht="26.25" customHeight="1">
      <c r="A6" s="1"/>
      <c r="B6" s="11" t="s">
        <v>2</v>
      </c>
      <c r="C6" s="12"/>
      <c r="D6" s="13" t="s">
        <v>15</v>
      </c>
      <c r="E6" s="12"/>
      <c r="F6" s="14">
        <f>IF($E$2&gt;0,S15,"")</f>
        <v>-77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</row>
    <row r="7" ht="26.25" customHeight="1">
      <c r="A7" s="1"/>
      <c r="B7" s="15" t="s">
        <v>3</v>
      </c>
      <c r="C7" s="16"/>
      <c r="D7" s="13" t="s">
        <v>16</v>
      </c>
      <c r="E7" s="12"/>
      <c r="F7" s="14">
        <f>IF($E$2&gt;1,T15,"")</f>
        <v>-2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</row>
    <row r="8" ht="26.25" customHeight="1">
      <c r="A8" s="1"/>
      <c r="B8" s="15" t="s">
        <v>4</v>
      </c>
      <c r="C8" s="16"/>
      <c r="D8" s="13" t="s">
        <v>19</v>
      </c>
      <c r="E8" s="12"/>
      <c r="F8" s="14">
        <f>IF($E$2&gt;2,U15,"")</f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</row>
    <row r="9" ht="26.25" customHeight="1">
      <c r="A9" s="1"/>
      <c r="B9" s="15" t="s">
        <v>5</v>
      </c>
      <c r="C9" s="16"/>
      <c r="D9" s="13" t="s">
        <v>20</v>
      </c>
      <c r="E9" s="12"/>
      <c r="F9" s="14">
        <f>IF($E$2&gt;3,V15,"")</f>
        <v>-44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</row>
    <row r="10" ht="26.25" customHeight="1">
      <c r="A10" s="1"/>
      <c r="B10" s="15" t="s">
        <v>6</v>
      </c>
      <c r="C10" s="16"/>
      <c r="D10" s="13" t="s">
        <v>17</v>
      </c>
      <c r="E10" s="12"/>
      <c r="F10" s="14">
        <f>IF($E$2&gt;4,W15,"")</f>
        <v>112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  <c r="V10" s="1"/>
      <c r="W10" s="1"/>
      <c r="X10" s="1"/>
    </row>
    <row r="11" ht="26.25" customHeight="1">
      <c r="A11" s="1"/>
      <c r="B11" s="17" t="s">
        <v>7</v>
      </c>
      <c r="C11" s="18"/>
      <c r="D11" s="19"/>
      <c r="E11" s="4"/>
      <c r="F11" s="14" t="str">
        <f>IF($E$2&gt;5,X15,"")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  <c r="V11" s="1"/>
      <c r="W11" s="1"/>
      <c r="X11" s="1"/>
    </row>
    <row r="12" ht="15.0" customHeight="1">
      <c r="A12" s="1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  <c r="V12" s="1"/>
      <c r="W12" s="1"/>
      <c r="X12" s="1"/>
    </row>
    <row r="13" ht="26.25" customHeight="1">
      <c r="A13" s="1"/>
      <c r="B13" s="8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  <c r="V13" s="1"/>
      <c r="W13" s="1"/>
      <c r="X13" s="1"/>
    </row>
    <row r="14" ht="15.0" customHeight="1">
      <c r="A14" s="1"/>
      <c r="B14" s="9"/>
      <c r="C14" s="9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  <c r="V14" s="1"/>
      <c r="W14" s="1"/>
      <c r="X14" s="1"/>
    </row>
    <row r="15" ht="26.25" customHeight="1">
      <c r="A15" s="1"/>
      <c r="B15" s="20" t="s">
        <v>9</v>
      </c>
      <c r="C15" s="20" t="s">
        <v>10</v>
      </c>
      <c r="D15" s="21" t="str">
        <f>D6</f>
        <v>Anon P2</v>
      </c>
      <c r="E15" s="22"/>
      <c r="F15" s="21" t="str">
        <f>D7</f>
        <v>Anon P1</v>
      </c>
      <c r="G15" s="22"/>
      <c r="H15" s="21" t="str">
        <f>D8</f>
        <v>Anon P4</v>
      </c>
      <c r="I15" s="22"/>
      <c r="J15" s="21" t="str">
        <f>D9</f>
        <v>Anon P5</v>
      </c>
      <c r="K15" s="22"/>
      <c r="L15" s="21" t="str">
        <f>D10</f>
        <v>Anon P6</v>
      </c>
      <c r="M15" s="22"/>
      <c r="N15" s="21" t="str">
        <f>D11</f>
        <v/>
      </c>
      <c r="O15" s="22"/>
      <c r="P15" s="6"/>
      <c r="Q15" s="6"/>
      <c r="R15" s="6"/>
      <c r="S15" s="6">
        <f t="shared" ref="S15:X15" si="1">SUM(IFNA(S17:S36,""))</f>
        <v>-77</v>
      </c>
      <c r="T15" s="6">
        <f t="shared" si="1"/>
        <v>-2</v>
      </c>
      <c r="U15" s="6">
        <f t="shared" si="1"/>
        <v>11</v>
      </c>
      <c r="V15" s="6">
        <f t="shared" si="1"/>
        <v>-44</v>
      </c>
      <c r="W15" s="6">
        <f t="shared" si="1"/>
        <v>112</v>
      </c>
      <c r="X15" s="6">
        <f t="shared" si="1"/>
        <v>-116</v>
      </c>
    </row>
    <row r="16" ht="26.25" customHeight="1">
      <c r="A16" s="1"/>
      <c r="B16" s="23"/>
      <c r="C16" s="23"/>
      <c r="D16" s="24" t="s">
        <v>11</v>
      </c>
      <c r="E16" s="25" t="s">
        <v>12</v>
      </c>
      <c r="F16" s="26" t="s">
        <v>11</v>
      </c>
      <c r="G16" s="25" t="s">
        <v>12</v>
      </c>
      <c r="H16" s="26" t="s">
        <v>11</v>
      </c>
      <c r="I16" s="25" t="s">
        <v>12</v>
      </c>
      <c r="J16" s="26" t="s">
        <v>11</v>
      </c>
      <c r="K16" s="25" t="s">
        <v>12</v>
      </c>
      <c r="L16" s="26" t="s">
        <v>11</v>
      </c>
      <c r="M16" s="25" t="s">
        <v>12</v>
      </c>
      <c r="N16" s="26" t="s">
        <v>11</v>
      </c>
      <c r="O16" s="25" t="s">
        <v>12</v>
      </c>
      <c r="P16" s="6"/>
      <c r="Q16" s="7" t="s">
        <v>13</v>
      </c>
      <c r="R16" s="7" t="s">
        <v>14</v>
      </c>
      <c r="S16" s="7" t="s">
        <v>2</v>
      </c>
      <c r="T16" s="7" t="s">
        <v>3</v>
      </c>
      <c r="U16" s="7" t="s">
        <v>4</v>
      </c>
      <c r="V16" s="7" t="s">
        <v>5</v>
      </c>
      <c r="W16" s="7" t="s">
        <v>6</v>
      </c>
      <c r="X16" s="7" t="s">
        <v>7</v>
      </c>
    </row>
    <row r="17" ht="26.25" customHeight="1">
      <c r="A17" s="1"/>
      <c r="B17" s="27">
        <f>if(ISBLANK(E2),"",1)</f>
        <v>1</v>
      </c>
      <c r="C17" s="28" t="s">
        <v>17</v>
      </c>
      <c r="D17" s="29">
        <v>0.0</v>
      </c>
      <c r="E17" s="30">
        <v>2.0</v>
      </c>
      <c r="F17" s="31">
        <v>8.0</v>
      </c>
      <c r="G17" s="32">
        <v>10.0</v>
      </c>
      <c r="H17" s="31">
        <v>6.0</v>
      </c>
      <c r="I17" s="32">
        <v>1.0</v>
      </c>
      <c r="J17" s="31">
        <v>4.0</v>
      </c>
      <c r="K17" s="32">
        <v>10.0</v>
      </c>
      <c r="L17" s="31">
        <v>19.0</v>
      </c>
      <c r="M17" s="32">
        <v>0.0</v>
      </c>
      <c r="N17" s="31"/>
      <c r="O17" s="32"/>
      <c r="P17" s="6"/>
      <c r="Q17" s="6">
        <f t="shared" ref="Q17:R17" si="2">D17+F17+H17+J17+L17+N17</f>
        <v>37</v>
      </c>
      <c r="R17" s="6">
        <f t="shared" si="2"/>
        <v>23</v>
      </c>
      <c r="S17" s="6">
        <f t="shared" ref="S17:S36" si="4">IF(INDEX($B$6:$B$11,MATCH($C17,$D$6:$D$11, 0))=S$16,$D17*$E$2-$Q17+$R17,$D17*$E$2-$Q17-$E17)</f>
        <v>-39</v>
      </c>
      <c r="T17" s="6">
        <f t="shared" ref="T17:T36" si="5">IF(INDEX($B$6:$B$11,MATCH($C17,$D$6:$D$11, 0))=T$16,$F17*$E$2-$Q17+$R17,$F17*$E$2-$Q17-$G17)</f>
        <v>-7</v>
      </c>
      <c r="U17" s="6">
        <f t="shared" ref="U17:U36" si="6">IF(INDEX($B$6:$B$11,MATCH($C17,$D$6:$D$11, 0))=U$16,$H17*$E$2-$Q17+$R17,$H17*$E$2-$Q17-$I17)</f>
        <v>-8</v>
      </c>
      <c r="V17" s="6">
        <f t="shared" ref="V17:V36" si="7">IF(INDEX($B$6:$B$11,MATCH($C17,$D$6:$D$11, 0))=V$16,$J17*$E$2-$Q17+$R17,$J17*$E$2-$Q17-$K17)</f>
        <v>-27</v>
      </c>
      <c r="W17" s="6">
        <f t="shared" ref="W17:W36" si="8">IF(INDEX($B$6:$B$11,MATCH($C17,$D$6:$D$11, 0))=W$16,$L17*$E$2-$Q17+$R17,$L17*$E$2-$Q17-$M17)</f>
        <v>81</v>
      </c>
      <c r="X17" s="6">
        <f t="shared" ref="X17:X36" si="9">IF(INDEX($B$6:$B$11,MATCH($C17,$D$6:$D$11, 0))=X$16,$N17*$E$2-$Q17+$R17,$N17*$E$2-$Q17-$O17)</f>
        <v>-37</v>
      </c>
    </row>
    <row r="18" ht="26.25" customHeight="1">
      <c r="A18" s="1"/>
      <c r="B18" s="33">
        <f t="shared" ref="B18:B36" si="10">if(ISBLANK(D17),"",B17+1)</f>
        <v>2</v>
      </c>
      <c r="C18" s="34" t="s">
        <v>16</v>
      </c>
      <c r="D18" s="35">
        <v>7.0</v>
      </c>
      <c r="E18" s="36">
        <v>1.0</v>
      </c>
      <c r="F18" s="37">
        <v>6.0</v>
      </c>
      <c r="G18" s="38">
        <v>0.0</v>
      </c>
      <c r="H18" s="37">
        <v>2.0</v>
      </c>
      <c r="I18" s="38">
        <v>7.0</v>
      </c>
      <c r="J18" s="37">
        <v>11.0</v>
      </c>
      <c r="K18" s="38">
        <v>1.0</v>
      </c>
      <c r="L18" s="37">
        <v>14.0</v>
      </c>
      <c r="M18" s="38">
        <v>2.0</v>
      </c>
      <c r="N18" s="37"/>
      <c r="O18" s="38"/>
      <c r="P18" s="6"/>
      <c r="Q18" s="6">
        <f t="shared" ref="Q18:R18" si="3">D18+F18+H18+J18+L18+N18</f>
        <v>40</v>
      </c>
      <c r="R18" s="6">
        <f t="shared" si="3"/>
        <v>11</v>
      </c>
      <c r="S18" s="6">
        <f t="shared" si="4"/>
        <v>-6</v>
      </c>
      <c r="T18" s="6">
        <f t="shared" si="5"/>
        <v>1</v>
      </c>
      <c r="U18" s="6">
        <f t="shared" si="6"/>
        <v>-37</v>
      </c>
      <c r="V18" s="6">
        <f t="shared" si="7"/>
        <v>14</v>
      </c>
      <c r="W18" s="6">
        <f t="shared" si="8"/>
        <v>28</v>
      </c>
      <c r="X18" s="6">
        <f t="shared" si="9"/>
        <v>-40</v>
      </c>
    </row>
    <row r="19" ht="26.25" customHeight="1">
      <c r="A19" s="1"/>
      <c r="B19" s="33">
        <f t="shared" si="10"/>
        <v>3</v>
      </c>
      <c r="C19" s="34" t="s">
        <v>19</v>
      </c>
      <c r="D19" s="35">
        <v>2.0</v>
      </c>
      <c r="E19" s="36">
        <v>3.0</v>
      </c>
      <c r="F19" s="37">
        <v>10.0</v>
      </c>
      <c r="G19" s="38">
        <v>7.0</v>
      </c>
      <c r="H19" s="37">
        <v>16.0</v>
      </c>
      <c r="I19" s="38">
        <v>0.0</v>
      </c>
      <c r="J19" s="37">
        <v>2.0</v>
      </c>
      <c r="K19" s="38">
        <v>2.0</v>
      </c>
      <c r="L19" s="37">
        <v>9.0</v>
      </c>
      <c r="M19" s="38">
        <v>3.0</v>
      </c>
      <c r="N19" s="37"/>
      <c r="O19" s="38"/>
      <c r="P19" s="6"/>
      <c r="Q19" s="6">
        <f t="shared" ref="Q19:R19" si="11">D19+F19+H19+J19+L19+N19</f>
        <v>39</v>
      </c>
      <c r="R19" s="6">
        <f t="shared" si="11"/>
        <v>15</v>
      </c>
      <c r="S19" s="6">
        <f t="shared" si="4"/>
        <v>-32</v>
      </c>
      <c r="T19" s="6">
        <f t="shared" si="5"/>
        <v>4</v>
      </c>
      <c r="U19" s="6">
        <f t="shared" si="6"/>
        <v>56</v>
      </c>
      <c r="V19" s="6">
        <f t="shared" si="7"/>
        <v>-31</v>
      </c>
      <c r="W19" s="6">
        <f t="shared" si="8"/>
        <v>3</v>
      </c>
      <c r="X19" s="6">
        <f t="shared" si="9"/>
        <v>-39</v>
      </c>
    </row>
    <row r="20" ht="26.25" customHeight="1">
      <c r="A20" s="1"/>
      <c r="B20" s="33">
        <f t="shared" si="10"/>
        <v>4</v>
      </c>
      <c r="C20" s="34"/>
      <c r="D20" s="35"/>
      <c r="E20" s="36"/>
      <c r="F20" s="37"/>
      <c r="G20" s="38"/>
      <c r="H20" s="37"/>
      <c r="I20" s="38"/>
      <c r="J20" s="39"/>
      <c r="K20" s="40"/>
      <c r="L20" s="39"/>
      <c r="M20" s="40"/>
      <c r="N20" s="41"/>
      <c r="O20" s="42"/>
      <c r="P20" s="6"/>
      <c r="Q20" s="6">
        <f t="shared" ref="Q20:R20" si="12">D20+F20+H20+J20+L20+N20</f>
        <v>0</v>
      </c>
      <c r="R20" s="6">
        <f t="shared" si="12"/>
        <v>0</v>
      </c>
      <c r="S20" s="6" t="str">
        <f t="shared" si="4"/>
        <v>#N/A</v>
      </c>
      <c r="T20" s="6" t="str">
        <f t="shared" si="5"/>
        <v>#N/A</v>
      </c>
      <c r="U20" s="6" t="str">
        <f t="shared" si="6"/>
        <v>#N/A</v>
      </c>
      <c r="V20" s="6" t="str">
        <f t="shared" si="7"/>
        <v>#N/A</v>
      </c>
      <c r="W20" s="6" t="str">
        <f t="shared" si="8"/>
        <v>#N/A</v>
      </c>
      <c r="X20" s="6" t="str">
        <f t="shared" si="9"/>
        <v>#N/A</v>
      </c>
    </row>
    <row r="21" ht="26.25" customHeight="1">
      <c r="A21" s="1"/>
      <c r="B21" s="33" t="str">
        <f t="shared" si="10"/>
        <v/>
      </c>
      <c r="C21" s="34"/>
      <c r="D21" s="35"/>
      <c r="E21" s="36"/>
      <c r="F21" s="37"/>
      <c r="G21" s="38"/>
      <c r="H21" s="37"/>
      <c r="I21" s="38"/>
      <c r="J21" s="39"/>
      <c r="K21" s="40"/>
      <c r="L21" s="39"/>
      <c r="M21" s="40"/>
      <c r="N21" s="41"/>
      <c r="O21" s="42"/>
      <c r="P21" s="6"/>
      <c r="Q21" s="6">
        <f t="shared" ref="Q21:R21" si="13">D21+F21+H21+J21+L21+N21</f>
        <v>0</v>
      </c>
      <c r="R21" s="6">
        <f t="shared" si="13"/>
        <v>0</v>
      </c>
      <c r="S21" s="6" t="str">
        <f t="shared" si="4"/>
        <v>#N/A</v>
      </c>
      <c r="T21" s="6" t="str">
        <f t="shared" si="5"/>
        <v>#N/A</v>
      </c>
      <c r="U21" s="6" t="str">
        <f t="shared" si="6"/>
        <v>#N/A</v>
      </c>
      <c r="V21" s="6" t="str">
        <f t="shared" si="7"/>
        <v>#N/A</v>
      </c>
      <c r="W21" s="6" t="str">
        <f t="shared" si="8"/>
        <v>#N/A</v>
      </c>
      <c r="X21" s="6" t="str">
        <f t="shared" si="9"/>
        <v>#N/A</v>
      </c>
    </row>
    <row r="22" ht="26.25" customHeight="1">
      <c r="A22" s="1"/>
      <c r="B22" s="33" t="str">
        <f t="shared" si="10"/>
        <v/>
      </c>
      <c r="C22" s="34"/>
      <c r="D22" s="35"/>
      <c r="E22" s="36"/>
      <c r="F22" s="37"/>
      <c r="G22" s="38"/>
      <c r="H22" s="37"/>
      <c r="I22" s="38"/>
      <c r="J22" s="41"/>
      <c r="K22" s="42"/>
      <c r="L22" s="41"/>
      <c r="M22" s="42"/>
      <c r="N22" s="41"/>
      <c r="O22" s="42"/>
      <c r="P22" s="6"/>
      <c r="Q22" s="6">
        <f t="shared" ref="Q22:R22" si="14">D22+F22+H22+J22+L22+N22</f>
        <v>0</v>
      </c>
      <c r="R22" s="6">
        <f t="shared" si="14"/>
        <v>0</v>
      </c>
      <c r="S22" s="6" t="str">
        <f t="shared" si="4"/>
        <v>#N/A</v>
      </c>
      <c r="T22" s="6" t="str">
        <f t="shared" si="5"/>
        <v>#N/A</v>
      </c>
      <c r="U22" s="6" t="str">
        <f t="shared" si="6"/>
        <v>#N/A</v>
      </c>
      <c r="V22" s="6" t="str">
        <f t="shared" si="7"/>
        <v>#N/A</v>
      </c>
      <c r="W22" s="6" t="str">
        <f t="shared" si="8"/>
        <v>#N/A</v>
      </c>
      <c r="X22" s="6" t="str">
        <f t="shared" si="9"/>
        <v>#N/A</v>
      </c>
    </row>
    <row r="23" ht="26.25" customHeight="1">
      <c r="A23" s="1"/>
      <c r="B23" s="33" t="str">
        <f t="shared" si="10"/>
        <v/>
      </c>
      <c r="C23" s="34"/>
      <c r="D23" s="35"/>
      <c r="E23" s="36"/>
      <c r="F23" s="41"/>
      <c r="G23" s="42"/>
      <c r="H23" s="41"/>
      <c r="I23" s="42"/>
      <c r="J23" s="41"/>
      <c r="K23" s="42"/>
      <c r="L23" s="41"/>
      <c r="M23" s="42"/>
      <c r="N23" s="41"/>
      <c r="O23" s="42"/>
      <c r="P23" s="6"/>
      <c r="Q23" s="6">
        <f t="shared" ref="Q23:R23" si="15">D23+F23+H23+J23+L23+N23</f>
        <v>0</v>
      </c>
      <c r="R23" s="6">
        <f t="shared" si="15"/>
        <v>0</v>
      </c>
      <c r="S23" s="6" t="str">
        <f t="shared" si="4"/>
        <v>#N/A</v>
      </c>
      <c r="T23" s="6" t="str">
        <f t="shared" si="5"/>
        <v>#N/A</v>
      </c>
      <c r="U23" s="6" t="str">
        <f t="shared" si="6"/>
        <v>#N/A</v>
      </c>
      <c r="V23" s="6" t="str">
        <f t="shared" si="7"/>
        <v>#N/A</v>
      </c>
      <c r="W23" s="6" t="str">
        <f t="shared" si="8"/>
        <v>#N/A</v>
      </c>
      <c r="X23" s="6" t="str">
        <f t="shared" si="9"/>
        <v>#N/A</v>
      </c>
    </row>
    <row r="24" ht="26.25" customHeight="1">
      <c r="A24" s="1"/>
      <c r="B24" s="33" t="str">
        <f t="shared" si="10"/>
        <v/>
      </c>
      <c r="C24" s="34"/>
      <c r="D24" s="35"/>
      <c r="E24" s="36"/>
      <c r="F24" s="41"/>
      <c r="G24" s="42"/>
      <c r="H24" s="41"/>
      <c r="I24" s="42"/>
      <c r="J24" s="41"/>
      <c r="K24" s="42"/>
      <c r="L24" s="41"/>
      <c r="M24" s="42"/>
      <c r="N24" s="41"/>
      <c r="O24" s="42"/>
      <c r="P24" s="6"/>
      <c r="Q24" s="6">
        <f t="shared" ref="Q24:R24" si="16">D24+F24+H24+J24+L24+N24</f>
        <v>0</v>
      </c>
      <c r="R24" s="6">
        <f t="shared" si="16"/>
        <v>0</v>
      </c>
      <c r="S24" s="6" t="str">
        <f t="shared" si="4"/>
        <v>#N/A</v>
      </c>
      <c r="T24" s="6" t="str">
        <f t="shared" si="5"/>
        <v>#N/A</v>
      </c>
      <c r="U24" s="6" t="str">
        <f t="shared" si="6"/>
        <v>#N/A</v>
      </c>
      <c r="V24" s="6" t="str">
        <f t="shared" si="7"/>
        <v>#N/A</v>
      </c>
      <c r="W24" s="6" t="str">
        <f t="shared" si="8"/>
        <v>#N/A</v>
      </c>
      <c r="X24" s="6" t="str">
        <f t="shared" si="9"/>
        <v>#N/A</v>
      </c>
    </row>
    <row r="25" ht="26.25" customHeight="1">
      <c r="A25" s="1"/>
      <c r="B25" s="33" t="str">
        <f t="shared" si="10"/>
        <v/>
      </c>
      <c r="C25" s="34"/>
      <c r="D25" s="35"/>
      <c r="E25" s="36"/>
      <c r="F25" s="41"/>
      <c r="G25" s="42"/>
      <c r="H25" s="41"/>
      <c r="I25" s="42"/>
      <c r="J25" s="41"/>
      <c r="K25" s="42"/>
      <c r="L25" s="41"/>
      <c r="M25" s="42"/>
      <c r="N25" s="41"/>
      <c r="O25" s="42"/>
      <c r="P25" s="6"/>
      <c r="Q25" s="6">
        <f t="shared" ref="Q25:R25" si="17">D25+F25+H25+J25+L25+N25</f>
        <v>0</v>
      </c>
      <c r="R25" s="6">
        <f t="shared" si="17"/>
        <v>0</v>
      </c>
      <c r="S25" s="6" t="str">
        <f t="shared" si="4"/>
        <v>#N/A</v>
      </c>
      <c r="T25" s="6" t="str">
        <f t="shared" si="5"/>
        <v>#N/A</v>
      </c>
      <c r="U25" s="6" t="str">
        <f t="shared" si="6"/>
        <v>#N/A</v>
      </c>
      <c r="V25" s="6" t="str">
        <f t="shared" si="7"/>
        <v>#N/A</v>
      </c>
      <c r="W25" s="6" t="str">
        <f t="shared" si="8"/>
        <v>#N/A</v>
      </c>
      <c r="X25" s="6" t="str">
        <f t="shared" si="9"/>
        <v>#N/A</v>
      </c>
    </row>
    <row r="26" ht="26.25" customHeight="1">
      <c r="A26" s="1"/>
      <c r="B26" s="33" t="str">
        <f t="shared" si="10"/>
        <v/>
      </c>
      <c r="C26" s="34"/>
      <c r="D26" s="35"/>
      <c r="E26" s="36"/>
      <c r="F26" s="41"/>
      <c r="G26" s="42"/>
      <c r="H26" s="41"/>
      <c r="I26" s="42"/>
      <c r="J26" s="41"/>
      <c r="K26" s="42"/>
      <c r="L26" s="41"/>
      <c r="M26" s="42"/>
      <c r="N26" s="41"/>
      <c r="O26" s="42"/>
      <c r="P26" s="6"/>
      <c r="Q26" s="6">
        <f t="shared" ref="Q26:R26" si="18">D26+F26+H26+J26+L26+N26</f>
        <v>0</v>
      </c>
      <c r="R26" s="6">
        <f t="shared" si="18"/>
        <v>0</v>
      </c>
      <c r="S26" s="6" t="str">
        <f t="shared" si="4"/>
        <v>#N/A</v>
      </c>
      <c r="T26" s="6" t="str">
        <f t="shared" si="5"/>
        <v>#N/A</v>
      </c>
      <c r="U26" s="6" t="str">
        <f t="shared" si="6"/>
        <v>#N/A</v>
      </c>
      <c r="V26" s="6" t="str">
        <f t="shared" si="7"/>
        <v>#N/A</v>
      </c>
      <c r="W26" s="6" t="str">
        <f t="shared" si="8"/>
        <v>#N/A</v>
      </c>
      <c r="X26" s="6" t="str">
        <f t="shared" si="9"/>
        <v>#N/A</v>
      </c>
    </row>
    <row r="27" ht="26.25" customHeight="1">
      <c r="A27" s="1"/>
      <c r="B27" s="33" t="str">
        <f t="shared" si="10"/>
        <v/>
      </c>
      <c r="C27" s="34"/>
      <c r="D27" s="35"/>
      <c r="E27" s="36"/>
      <c r="F27" s="41"/>
      <c r="G27" s="42"/>
      <c r="H27" s="41"/>
      <c r="I27" s="42"/>
      <c r="J27" s="41"/>
      <c r="K27" s="42"/>
      <c r="L27" s="41"/>
      <c r="M27" s="42"/>
      <c r="N27" s="41"/>
      <c r="O27" s="42"/>
      <c r="P27" s="6"/>
      <c r="Q27" s="6">
        <f t="shared" ref="Q27:R27" si="19">D27+F27+H27+J27+L27+N27</f>
        <v>0</v>
      </c>
      <c r="R27" s="6">
        <f t="shared" si="19"/>
        <v>0</v>
      </c>
      <c r="S27" s="6" t="str">
        <f t="shared" si="4"/>
        <v>#N/A</v>
      </c>
      <c r="T27" s="6" t="str">
        <f t="shared" si="5"/>
        <v>#N/A</v>
      </c>
      <c r="U27" s="6" t="str">
        <f t="shared" si="6"/>
        <v>#N/A</v>
      </c>
      <c r="V27" s="6" t="str">
        <f t="shared" si="7"/>
        <v>#N/A</v>
      </c>
      <c r="W27" s="6" t="str">
        <f t="shared" si="8"/>
        <v>#N/A</v>
      </c>
      <c r="X27" s="6" t="str">
        <f t="shared" si="9"/>
        <v>#N/A</v>
      </c>
    </row>
    <row r="28" ht="26.25" customHeight="1">
      <c r="A28" s="1"/>
      <c r="B28" s="33" t="str">
        <f t="shared" si="10"/>
        <v/>
      </c>
      <c r="C28" s="34"/>
      <c r="D28" s="35"/>
      <c r="E28" s="36"/>
      <c r="F28" s="41"/>
      <c r="G28" s="42"/>
      <c r="H28" s="41"/>
      <c r="I28" s="42"/>
      <c r="J28" s="41"/>
      <c r="K28" s="42"/>
      <c r="L28" s="41"/>
      <c r="M28" s="42"/>
      <c r="N28" s="41"/>
      <c r="O28" s="42"/>
      <c r="P28" s="6"/>
      <c r="Q28" s="6">
        <f t="shared" ref="Q28:R28" si="20">D28+F28+H28+J28+L28+N28</f>
        <v>0</v>
      </c>
      <c r="R28" s="6">
        <f t="shared" si="20"/>
        <v>0</v>
      </c>
      <c r="S28" s="6" t="str">
        <f t="shared" si="4"/>
        <v>#N/A</v>
      </c>
      <c r="T28" s="6" t="str">
        <f t="shared" si="5"/>
        <v>#N/A</v>
      </c>
      <c r="U28" s="6" t="str">
        <f t="shared" si="6"/>
        <v>#N/A</v>
      </c>
      <c r="V28" s="6" t="str">
        <f t="shared" si="7"/>
        <v>#N/A</v>
      </c>
      <c r="W28" s="6" t="str">
        <f t="shared" si="8"/>
        <v>#N/A</v>
      </c>
      <c r="X28" s="6" t="str">
        <f t="shared" si="9"/>
        <v>#N/A</v>
      </c>
    </row>
    <row r="29" ht="26.25" customHeight="1">
      <c r="A29" s="1"/>
      <c r="B29" s="33" t="str">
        <f t="shared" si="10"/>
        <v/>
      </c>
      <c r="C29" s="34"/>
      <c r="D29" s="35"/>
      <c r="E29" s="36"/>
      <c r="F29" s="41"/>
      <c r="G29" s="42"/>
      <c r="H29" s="41"/>
      <c r="I29" s="42"/>
      <c r="J29" s="41"/>
      <c r="K29" s="42"/>
      <c r="L29" s="41"/>
      <c r="M29" s="42"/>
      <c r="N29" s="41"/>
      <c r="O29" s="42"/>
      <c r="P29" s="6"/>
      <c r="Q29" s="6">
        <f t="shared" ref="Q29:R29" si="21">D29+F29+H29+J29+L29+N29</f>
        <v>0</v>
      </c>
      <c r="R29" s="6">
        <f t="shared" si="21"/>
        <v>0</v>
      </c>
      <c r="S29" s="6" t="str">
        <f t="shared" si="4"/>
        <v>#N/A</v>
      </c>
      <c r="T29" s="6" t="str">
        <f t="shared" si="5"/>
        <v>#N/A</v>
      </c>
      <c r="U29" s="6" t="str">
        <f t="shared" si="6"/>
        <v>#N/A</v>
      </c>
      <c r="V29" s="6" t="str">
        <f t="shared" si="7"/>
        <v>#N/A</v>
      </c>
      <c r="W29" s="6" t="str">
        <f t="shared" si="8"/>
        <v>#N/A</v>
      </c>
      <c r="X29" s="6" t="str">
        <f t="shared" si="9"/>
        <v>#N/A</v>
      </c>
    </row>
    <row r="30" ht="26.25" customHeight="1">
      <c r="A30" s="1"/>
      <c r="B30" s="33" t="str">
        <f t="shared" si="10"/>
        <v/>
      </c>
      <c r="C30" s="34"/>
      <c r="D30" s="35"/>
      <c r="E30" s="36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6"/>
      <c r="Q30" s="6">
        <f t="shared" ref="Q30:R30" si="22">D30+F30+H30+J30+L30+N30</f>
        <v>0</v>
      </c>
      <c r="R30" s="6">
        <f t="shared" si="22"/>
        <v>0</v>
      </c>
      <c r="S30" s="6" t="str">
        <f t="shared" si="4"/>
        <v>#N/A</v>
      </c>
      <c r="T30" s="6" t="str">
        <f t="shared" si="5"/>
        <v>#N/A</v>
      </c>
      <c r="U30" s="6" t="str">
        <f t="shared" si="6"/>
        <v>#N/A</v>
      </c>
      <c r="V30" s="6" t="str">
        <f t="shared" si="7"/>
        <v>#N/A</v>
      </c>
      <c r="W30" s="6" t="str">
        <f t="shared" si="8"/>
        <v>#N/A</v>
      </c>
      <c r="X30" s="6" t="str">
        <f t="shared" si="9"/>
        <v>#N/A</v>
      </c>
    </row>
    <row r="31" ht="26.25" customHeight="1">
      <c r="A31" s="1"/>
      <c r="B31" s="33" t="str">
        <f t="shared" si="10"/>
        <v/>
      </c>
      <c r="C31" s="34"/>
      <c r="D31" s="35"/>
      <c r="E31" s="36"/>
      <c r="F31" s="41"/>
      <c r="G31" s="42"/>
      <c r="H31" s="41"/>
      <c r="I31" s="42"/>
      <c r="J31" s="41"/>
      <c r="K31" s="42"/>
      <c r="L31" s="41"/>
      <c r="M31" s="42"/>
      <c r="N31" s="41"/>
      <c r="O31" s="42"/>
      <c r="P31" s="6"/>
      <c r="Q31" s="6">
        <f t="shared" ref="Q31:R31" si="23">D31+F31+H31+J31+L31+N31</f>
        <v>0</v>
      </c>
      <c r="R31" s="6">
        <f t="shared" si="23"/>
        <v>0</v>
      </c>
      <c r="S31" s="6" t="str">
        <f t="shared" si="4"/>
        <v>#N/A</v>
      </c>
      <c r="T31" s="6" t="str">
        <f t="shared" si="5"/>
        <v>#N/A</v>
      </c>
      <c r="U31" s="6" t="str">
        <f t="shared" si="6"/>
        <v>#N/A</v>
      </c>
      <c r="V31" s="6" t="str">
        <f t="shared" si="7"/>
        <v>#N/A</v>
      </c>
      <c r="W31" s="6" t="str">
        <f t="shared" si="8"/>
        <v>#N/A</v>
      </c>
      <c r="X31" s="6" t="str">
        <f t="shared" si="9"/>
        <v>#N/A</v>
      </c>
    </row>
    <row r="32" ht="26.25" customHeight="1">
      <c r="A32" s="1"/>
      <c r="B32" s="33" t="str">
        <f t="shared" si="10"/>
        <v/>
      </c>
      <c r="C32" s="34"/>
      <c r="D32" s="35"/>
      <c r="E32" s="36"/>
      <c r="F32" s="41"/>
      <c r="G32" s="42"/>
      <c r="H32" s="41"/>
      <c r="I32" s="42"/>
      <c r="J32" s="41"/>
      <c r="K32" s="42"/>
      <c r="L32" s="41"/>
      <c r="M32" s="42"/>
      <c r="N32" s="41"/>
      <c r="O32" s="42"/>
      <c r="P32" s="6"/>
      <c r="Q32" s="6">
        <f t="shared" ref="Q32:R32" si="24">D32+F32+H32+J32+L32+N32</f>
        <v>0</v>
      </c>
      <c r="R32" s="6">
        <f t="shared" si="24"/>
        <v>0</v>
      </c>
      <c r="S32" s="6" t="str">
        <f t="shared" si="4"/>
        <v>#N/A</v>
      </c>
      <c r="T32" s="6" t="str">
        <f t="shared" si="5"/>
        <v>#N/A</v>
      </c>
      <c r="U32" s="6" t="str">
        <f t="shared" si="6"/>
        <v>#N/A</v>
      </c>
      <c r="V32" s="6" t="str">
        <f t="shared" si="7"/>
        <v>#N/A</v>
      </c>
      <c r="W32" s="6" t="str">
        <f t="shared" si="8"/>
        <v>#N/A</v>
      </c>
      <c r="X32" s="6" t="str">
        <f t="shared" si="9"/>
        <v>#N/A</v>
      </c>
    </row>
    <row r="33" ht="26.25" customHeight="1">
      <c r="A33" s="1"/>
      <c r="B33" s="33" t="str">
        <f t="shared" si="10"/>
        <v/>
      </c>
      <c r="C33" s="34"/>
      <c r="D33" s="35"/>
      <c r="E33" s="36"/>
      <c r="F33" s="41"/>
      <c r="G33" s="42"/>
      <c r="H33" s="41"/>
      <c r="I33" s="42"/>
      <c r="J33" s="41"/>
      <c r="K33" s="42"/>
      <c r="L33" s="41"/>
      <c r="M33" s="42"/>
      <c r="N33" s="41"/>
      <c r="O33" s="42"/>
      <c r="P33" s="6"/>
      <c r="Q33" s="6">
        <f t="shared" ref="Q33:R33" si="25">D33+F33+H33+J33+L33+N33</f>
        <v>0</v>
      </c>
      <c r="R33" s="6">
        <f t="shared" si="25"/>
        <v>0</v>
      </c>
      <c r="S33" s="6" t="str">
        <f t="shared" si="4"/>
        <v>#N/A</v>
      </c>
      <c r="T33" s="6" t="str">
        <f t="shared" si="5"/>
        <v>#N/A</v>
      </c>
      <c r="U33" s="6" t="str">
        <f t="shared" si="6"/>
        <v>#N/A</v>
      </c>
      <c r="V33" s="6" t="str">
        <f t="shared" si="7"/>
        <v>#N/A</v>
      </c>
      <c r="W33" s="6" t="str">
        <f t="shared" si="8"/>
        <v>#N/A</v>
      </c>
      <c r="X33" s="6" t="str">
        <f t="shared" si="9"/>
        <v>#N/A</v>
      </c>
    </row>
    <row r="34" ht="26.25" customHeight="1">
      <c r="A34" s="1"/>
      <c r="B34" s="33" t="str">
        <f t="shared" si="10"/>
        <v/>
      </c>
      <c r="C34" s="34"/>
      <c r="D34" s="35"/>
      <c r="E34" s="36"/>
      <c r="F34" s="41"/>
      <c r="G34" s="42"/>
      <c r="H34" s="41"/>
      <c r="I34" s="42"/>
      <c r="J34" s="41"/>
      <c r="K34" s="42"/>
      <c r="L34" s="41"/>
      <c r="M34" s="42"/>
      <c r="N34" s="41"/>
      <c r="O34" s="42"/>
      <c r="P34" s="6"/>
      <c r="Q34" s="6">
        <f t="shared" ref="Q34:R34" si="26">D34+F34+H34+J34+L34+N34</f>
        <v>0</v>
      </c>
      <c r="R34" s="6">
        <f t="shared" si="26"/>
        <v>0</v>
      </c>
      <c r="S34" s="6" t="str">
        <f t="shared" si="4"/>
        <v>#N/A</v>
      </c>
      <c r="T34" s="6" t="str">
        <f t="shared" si="5"/>
        <v>#N/A</v>
      </c>
      <c r="U34" s="6" t="str">
        <f t="shared" si="6"/>
        <v>#N/A</v>
      </c>
      <c r="V34" s="6" t="str">
        <f t="shared" si="7"/>
        <v>#N/A</v>
      </c>
      <c r="W34" s="6" t="str">
        <f t="shared" si="8"/>
        <v>#N/A</v>
      </c>
      <c r="X34" s="6" t="str">
        <f t="shared" si="9"/>
        <v>#N/A</v>
      </c>
    </row>
    <row r="35" ht="26.25" customHeight="1">
      <c r="A35" s="1"/>
      <c r="B35" s="33" t="str">
        <f t="shared" si="10"/>
        <v/>
      </c>
      <c r="C35" s="34"/>
      <c r="D35" s="35"/>
      <c r="E35" s="36"/>
      <c r="F35" s="41"/>
      <c r="G35" s="42"/>
      <c r="H35" s="41"/>
      <c r="I35" s="42"/>
      <c r="J35" s="41"/>
      <c r="K35" s="42"/>
      <c r="L35" s="41"/>
      <c r="M35" s="42"/>
      <c r="N35" s="41"/>
      <c r="O35" s="42"/>
      <c r="P35" s="6"/>
      <c r="Q35" s="6">
        <f t="shared" ref="Q35:R35" si="27">D35+F35+H35+J35+L35+N35</f>
        <v>0</v>
      </c>
      <c r="R35" s="6">
        <f t="shared" si="27"/>
        <v>0</v>
      </c>
      <c r="S35" s="6" t="str">
        <f t="shared" si="4"/>
        <v>#N/A</v>
      </c>
      <c r="T35" s="6" t="str">
        <f t="shared" si="5"/>
        <v>#N/A</v>
      </c>
      <c r="U35" s="6" t="str">
        <f t="shared" si="6"/>
        <v>#N/A</v>
      </c>
      <c r="V35" s="6" t="str">
        <f t="shared" si="7"/>
        <v>#N/A</v>
      </c>
      <c r="W35" s="6" t="str">
        <f t="shared" si="8"/>
        <v>#N/A</v>
      </c>
      <c r="X35" s="6" t="str">
        <f t="shared" si="9"/>
        <v>#N/A</v>
      </c>
    </row>
    <row r="36" ht="26.25" customHeight="1">
      <c r="A36" s="1"/>
      <c r="B36" s="43" t="str">
        <f t="shared" si="10"/>
        <v/>
      </c>
      <c r="C36" s="44"/>
      <c r="D36" s="45"/>
      <c r="E36" s="46"/>
      <c r="F36" s="47"/>
      <c r="G36" s="48"/>
      <c r="H36" s="47"/>
      <c r="I36" s="48"/>
      <c r="J36" s="47"/>
      <c r="K36" s="48"/>
      <c r="L36" s="47"/>
      <c r="M36" s="48"/>
      <c r="N36" s="47"/>
      <c r="O36" s="48"/>
      <c r="P36" s="6"/>
      <c r="Q36" s="6">
        <f t="shared" ref="Q36:R36" si="28">D36+F36+H36+J36+L36+N36</f>
        <v>0</v>
      </c>
      <c r="R36" s="6">
        <f t="shared" si="28"/>
        <v>0</v>
      </c>
      <c r="S36" s="6" t="str">
        <f t="shared" si="4"/>
        <v>#N/A</v>
      </c>
      <c r="T36" s="6" t="str">
        <f t="shared" si="5"/>
        <v>#N/A</v>
      </c>
      <c r="U36" s="6" t="str">
        <f t="shared" si="6"/>
        <v>#N/A</v>
      </c>
      <c r="V36" s="6" t="str">
        <f t="shared" si="7"/>
        <v>#N/A</v>
      </c>
      <c r="W36" s="6" t="str">
        <f t="shared" si="8"/>
        <v>#N/A</v>
      </c>
      <c r="X36" s="6" t="str">
        <f t="shared" si="9"/>
        <v>#N/A</v>
      </c>
    </row>
    <row r="37" ht="15.0" customHeight="1">
      <c r="A37" s="1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</row>
  </sheetData>
  <mergeCells count="23">
    <mergeCell ref="B8:C8"/>
    <mergeCell ref="B9:C9"/>
    <mergeCell ref="B10:C10"/>
    <mergeCell ref="B11:C11"/>
    <mergeCell ref="B15:B16"/>
    <mergeCell ref="C15:C16"/>
    <mergeCell ref="B2:D2"/>
    <mergeCell ref="B4:E4"/>
    <mergeCell ref="B6:C6"/>
    <mergeCell ref="D6:E6"/>
    <mergeCell ref="B7:C7"/>
    <mergeCell ref="D7:E7"/>
    <mergeCell ref="D8:E8"/>
    <mergeCell ref="J15:K15"/>
    <mergeCell ref="L15:M15"/>
    <mergeCell ref="N15:O15"/>
    <mergeCell ref="D9:E9"/>
    <mergeCell ref="D10:E10"/>
    <mergeCell ref="D11:E11"/>
    <mergeCell ref="B13:E13"/>
    <mergeCell ref="D15:E15"/>
    <mergeCell ref="F15:G15"/>
    <mergeCell ref="H15:I15"/>
  </mergeCells>
  <conditionalFormatting sqref="E2">
    <cfRule type="notContainsBlanks" dxfId="0" priority="1">
      <formula>LEN(TRIM(E2))&gt;0</formula>
    </cfRule>
  </conditionalFormatting>
  <conditionalFormatting sqref="D6:E6">
    <cfRule type="expression" dxfId="1" priority="2">
      <formula>AND(ISBLANK(D6:E6),E2&gt;0)</formula>
    </cfRule>
  </conditionalFormatting>
  <conditionalFormatting sqref="G5 G14">
    <cfRule type="notContainsBlanks" dxfId="0" priority="3">
      <formula>LEN(TRIM(G5))&gt;0</formula>
    </cfRule>
  </conditionalFormatting>
  <conditionalFormatting sqref="D7:E7">
    <cfRule type="expression" dxfId="1" priority="4">
      <formula>AND(ISBLANK(D7:E7),E2&gt;1)</formula>
    </cfRule>
  </conditionalFormatting>
  <conditionalFormatting sqref="D8:E8">
    <cfRule type="expression" dxfId="1" priority="5">
      <formula>AND(ISBLANK(D8:E8),E2&gt;2)</formula>
    </cfRule>
  </conditionalFormatting>
  <conditionalFormatting sqref="D9:E9">
    <cfRule type="expression" dxfId="1" priority="6">
      <formula>AND(ISBLANK(D9:E9),E2&gt;3)</formula>
    </cfRule>
  </conditionalFormatting>
  <conditionalFormatting sqref="D10:E10">
    <cfRule type="expression" dxfId="1" priority="7">
      <formula>AND(ISBLANK(D10:E10),E2&gt;4)</formula>
    </cfRule>
  </conditionalFormatting>
  <conditionalFormatting sqref="D11:E11">
    <cfRule type="expression" dxfId="1" priority="8">
      <formula>AND(ISBLANK(D11:E11),E2&gt;5)</formula>
    </cfRule>
  </conditionalFormatting>
  <conditionalFormatting sqref="D6:E6">
    <cfRule type="expression" dxfId="0" priority="9">
      <formula>AND(NOT(ISBLANK(D6:E6)),E2&gt;0)</formula>
    </cfRule>
  </conditionalFormatting>
  <conditionalFormatting sqref="D7:E7">
    <cfRule type="expression" dxfId="0" priority="10">
      <formula>AND(NOT(ISBLANK(D7:E7)),E2&gt;1)</formula>
    </cfRule>
  </conditionalFormatting>
  <conditionalFormatting sqref="D8:E8">
    <cfRule type="expression" dxfId="0" priority="11">
      <formula>AND(NOT(ISBLANK(D8:E8)),E2&gt;2)</formula>
    </cfRule>
  </conditionalFormatting>
  <conditionalFormatting sqref="D9:E9">
    <cfRule type="expression" dxfId="0" priority="12">
      <formula>AND(NOT(ISBLANK(D9:E9)),E2&gt;3)</formula>
    </cfRule>
  </conditionalFormatting>
  <conditionalFormatting sqref="D10:E10">
    <cfRule type="expression" dxfId="0" priority="13">
      <formula>AND(NOT(ISBLANK(D10:E10)),E2&gt;4)</formula>
    </cfRule>
  </conditionalFormatting>
  <conditionalFormatting sqref="D11:E11">
    <cfRule type="expression" dxfId="0" priority="14">
      <formula>AND(NOT(ISBLANK(D11:E11)),E2&gt;5)</formula>
    </cfRule>
  </conditionalFormatting>
  <conditionalFormatting sqref="C18:O36">
    <cfRule type="expression" dxfId="2" priority="15">
      <formula>ISBLANK(C17)</formula>
    </cfRule>
  </conditionalFormatting>
  <conditionalFormatting sqref="C17:O36">
    <cfRule type="notContainsBlanks" dxfId="0" priority="16">
      <formula>LEN(TRIM(C17))&gt;0</formula>
    </cfRule>
  </conditionalFormatting>
  <conditionalFormatting sqref="D17:E36">
    <cfRule type="expression" dxfId="1" priority="17">
      <formula>$E$2&gt;0</formula>
    </cfRule>
  </conditionalFormatting>
  <conditionalFormatting sqref="F17:G36">
    <cfRule type="expression" dxfId="1" priority="18">
      <formula>$E$2&gt;1</formula>
    </cfRule>
  </conditionalFormatting>
  <conditionalFormatting sqref="H17:I36">
    <cfRule type="expression" dxfId="1" priority="19">
      <formula>$E$2&gt;2</formula>
    </cfRule>
  </conditionalFormatting>
  <conditionalFormatting sqref="J17:K36">
    <cfRule type="expression" dxfId="1" priority="20">
      <formula>$E$2&gt;3</formula>
    </cfRule>
  </conditionalFormatting>
  <conditionalFormatting sqref="L17:M36">
    <cfRule type="expression" dxfId="1" priority="21">
      <formula>$E$2&gt;4</formula>
    </cfRule>
  </conditionalFormatting>
  <conditionalFormatting sqref="N17:O36">
    <cfRule type="expression" dxfId="1" priority="22">
      <formula>$E$2&gt;5</formula>
    </cfRule>
  </conditionalFormatting>
  <conditionalFormatting sqref="F6:F11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C18:C36">
    <cfRule type="expression" dxfId="1" priority="24">
      <formula>NOT(ISBLANK(C17))</formula>
    </cfRule>
  </conditionalFormatting>
  <dataValidations>
    <dataValidation type="list" allowBlank="1" showErrorMessage="1" sqref="E2">
      <formula1>"2,3,4,5,6"</formula1>
    </dataValidation>
    <dataValidation type="list" allowBlank="1" showErrorMessage="1" sqref="C17:C36">
      <formula1>'Jan 22 2025'!$D$6:$D$11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5" width="17.29"/>
    <col customWidth="1" min="16" max="16" width="3.71"/>
    <col customWidth="1" hidden="1" min="17" max="20" width="14.43"/>
    <col hidden="1" min="21" max="24" width="14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>
      <c r="A2" s="1"/>
      <c r="B2" s="2" t="s">
        <v>0</v>
      </c>
      <c r="C2" s="3"/>
      <c r="D2" s="4"/>
      <c r="E2" s="5">
        <v>3.0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</row>
    <row r="3" ht="15.0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</row>
    <row r="4" ht="26.25" customHeight="1">
      <c r="A4" s="1"/>
      <c r="B4" s="8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</row>
    <row r="5" ht="15.0" customHeight="1">
      <c r="A5" s="1"/>
      <c r="B5" s="9"/>
      <c r="C5" s="9"/>
      <c r="D5" s="10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</row>
    <row r="6" ht="26.25" customHeight="1">
      <c r="A6" s="1"/>
      <c r="B6" s="11" t="s">
        <v>2</v>
      </c>
      <c r="C6" s="12"/>
      <c r="D6" s="13" t="s">
        <v>15</v>
      </c>
      <c r="E6" s="12"/>
      <c r="F6" s="14">
        <f>IF($E$2&gt;0,S15,"")</f>
        <v>42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</row>
    <row r="7" ht="26.25" customHeight="1">
      <c r="A7" s="1"/>
      <c r="B7" s="15" t="s">
        <v>3</v>
      </c>
      <c r="C7" s="16"/>
      <c r="D7" s="13" t="s">
        <v>16</v>
      </c>
      <c r="E7" s="12"/>
      <c r="F7" s="14">
        <f>IF($E$2&gt;1,T15,"")</f>
        <v>-44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</row>
    <row r="8" ht="26.25" customHeight="1">
      <c r="A8" s="1"/>
      <c r="B8" s="15" t="s">
        <v>4</v>
      </c>
      <c r="C8" s="16"/>
      <c r="D8" s="13" t="s">
        <v>21</v>
      </c>
      <c r="E8" s="12"/>
      <c r="F8" s="14">
        <f>IF($E$2&gt;2,U15,"")</f>
        <v>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</row>
    <row r="9" ht="26.25" customHeight="1">
      <c r="A9" s="1"/>
      <c r="B9" s="15" t="s">
        <v>5</v>
      </c>
      <c r="C9" s="16"/>
      <c r="D9" s="13"/>
      <c r="E9" s="12"/>
      <c r="F9" s="14" t="str">
        <f>IF($E$2&gt;3,V15,"")</f>
        <v/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</row>
    <row r="10" ht="26.25" customHeight="1">
      <c r="A10" s="1"/>
      <c r="B10" s="15" t="s">
        <v>6</v>
      </c>
      <c r="C10" s="16"/>
      <c r="D10" s="13"/>
      <c r="E10" s="12"/>
      <c r="F10" s="14" t="str">
        <f>IF($E$2&gt;4,W15,"")</f>
        <v/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  <c r="V10" s="1"/>
      <c r="W10" s="1"/>
      <c r="X10" s="1"/>
    </row>
    <row r="11" ht="26.25" customHeight="1">
      <c r="A11" s="1"/>
      <c r="B11" s="17" t="s">
        <v>7</v>
      </c>
      <c r="C11" s="18"/>
      <c r="D11" s="19"/>
      <c r="E11" s="4"/>
      <c r="F11" s="14" t="str">
        <f>IF($E$2&gt;5,X15,"")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  <c r="V11" s="1"/>
      <c r="W11" s="1"/>
      <c r="X11" s="1"/>
    </row>
    <row r="12" ht="15.0" customHeight="1">
      <c r="A12" s="1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  <c r="V12" s="1"/>
      <c r="W12" s="1"/>
      <c r="X12" s="1"/>
    </row>
    <row r="13" ht="26.25" customHeight="1">
      <c r="A13" s="1"/>
      <c r="B13" s="8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  <c r="V13" s="1"/>
      <c r="W13" s="1"/>
      <c r="X13" s="1"/>
    </row>
    <row r="14" ht="15.0" customHeight="1">
      <c r="A14" s="1"/>
      <c r="B14" s="9"/>
      <c r="C14" s="9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  <c r="V14" s="1"/>
      <c r="W14" s="1"/>
      <c r="X14" s="1"/>
    </row>
    <row r="15" ht="26.25" customHeight="1">
      <c r="A15" s="1"/>
      <c r="B15" s="20" t="s">
        <v>9</v>
      </c>
      <c r="C15" s="20" t="s">
        <v>10</v>
      </c>
      <c r="D15" s="21" t="str">
        <f>D6</f>
        <v>Anon P2</v>
      </c>
      <c r="E15" s="22"/>
      <c r="F15" s="21" t="str">
        <f>D7</f>
        <v>Anon P1</v>
      </c>
      <c r="G15" s="22"/>
      <c r="H15" s="21" t="str">
        <f>D8</f>
        <v>Anon P3</v>
      </c>
      <c r="I15" s="22"/>
      <c r="J15" s="21" t="str">
        <f>D9</f>
        <v/>
      </c>
      <c r="K15" s="22"/>
      <c r="L15" s="21" t="str">
        <f>D10</f>
        <v/>
      </c>
      <c r="M15" s="22"/>
      <c r="N15" s="21" t="str">
        <f>D11</f>
        <v/>
      </c>
      <c r="O15" s="22"/>
      <c r="P15" s="6"/>
      <c r="Q15" s="6"/>
      <c r="R15" s="6"/>
      <c r="S15" s="6">
        <f t="shared" ref="S15:X15" si="1">SUM(IFNA(S17:S36,""))</f>
        <v>42</v>
      </c>
      <c r="T15" s="6">
        <f t="shared" si="1"/>
        <v>-44</v>
      </c>
      <c r="U15" s="6">
        <f t="shared" si="1"/>
        <v>2</v>
      </c>
      <c r="V15" s="6">
        <f t="shared" si="1"/>
        <v>-195</v>
      </c>
      <c r="W15" s="6">
        <f t="shared" si="1"/>
        <v>-195</v>
      </c>
      <c r="X15" s="6">
        <f t="shared" si="1"/>
        <v>-195</v>
      </c>
    </row>
    <row r="16" ht="26.25" customHeight="1">
      <c r="A16" s="1"/>
      <c r="B16" s="23"/>
      <c r="C16" s="23"/>
      <c r="D16" s="24" t="s">
        <v>11</v>
      </c>
      <c r="E16" s="25" t="s">
        <v>12</v>
      </c>
      <c r="F16" s="26" t="s">
        <v>11</v>
      </c>
      <c r="G16" s="25" t="s">
        <v>12</v>
      </c>
      <c r="H16" s="26" t="s">
        <v>11</v>
      </c>
      <c r="I16" s="25" t="s">
        <v>12</v>
      </c>
      <c r="J16" s="26" t="s">
        <v>11</v>
      </c>
      <c r="K16" s="25" t="s">
        <v>12</v>
      </c>
      <c r="L16" s="26" t="s">
        <v>11</v>
      </c>
      <c r="M16" s="25" t="s">
        <v>12</v>
      </c>
      <c r="N16" s="26" t="s">
        <v>11</v>
      </c>
      <c r="O16" s="25" t="s">
        <v>12</v>
      </c>
      <c r="P16" s="6"/>
      <c r="Q16" s="7" t="s">
        <v>13</v>
      </c>
      <c r="R16" s="7" t="s">
        <v>14</v>
      </c>
      <c r="S16" s="7" t="s">
        <v>2</v>
      </c>
      <c r="T16" s="7" t="s">
        <v>3</v>
      </c>
      <c r="U16" s="7" t="s">
        <v>4</v>
      </c>
      <c r="V16" s="7" t="s">
        <v>5</v>
      </c>
      <c r="W16" s="7" t="s">
        <v>6</v>
      </c>
      <c r="X16" s="7" t="s">
        <v>7</v>
      </c>
    </row>
    <row r="17" ht="26.25" customHeight="1">
      <c r="A17" s="1"/>
      <c r="B17" s="27">
        <f>if(ISBLANK(E2),"",1)</f>
        <v>1</v>
      </c>
      <c r="C17" s="28" t="s">
        <v>16</v>
      </c>
      <c r="D17" s="29">
        <v>4.0</v>
      </c>
      <c r="E17" s="30">
        <v>1.0</v>
      </c>
      <c r="F17" s="31">
        <v>9.0</v>
      </c>
      <c r="G17" s="32">
        <v>0.0</v>
      </c>
      <c r="H17" s="31">
        <v>4.0</v>
      </c>
      <c r="I17" s="32">
        <v>1.0</v>
      </c>
      <c r="J17" s="31"/>
      <c r="K17" s="32"/>
      <c r="L17" s="31"/>
      <c r="M17" s="32"/>
      <c r="N17" s="31"/>
      <c r="O17" s="32"/>
      <c r="P17" s="6"/>
      <c r="Q17" s="6">
        <f t="shared" ref="Q17:R17" si="2">D17+F17+H17+J17+L17+N17</f>
        <v>17</v>
      </c>
      <c r="R17" s="6">
        <f t="shared" si="2"/>
        <v>2</v>
      </c>
      <c r="S17" s="6">
        <f t="shared" ref="S17:S36" si="4">IF(INDEX($B$6:$B$11,MATCH($C17,$D$6:$D$11, 0))=S$16,$D17*$E$2-$Q17+$R17,$D17*$E$2-$Q17-$E17)</f>
        <v>-6</v>
      </c>
      <c r="T17" s="6">
        <f t="shared" ref="T17:T36" si="5">IF(INDEX($B$6:$B$11,MATCH($C17,$D$6:$D$11, 0))=T$16,$F17*$E$2-$Q17+$R17,$F17*$E$2-$Q17-$G17)</f>
        <v>12</v>
      </c>
      <c r="U17" s="6">
        <f t="shared" ref="U17:U36" si="6">IF(INDEX($B$6:$B$11,MATCH($C17,$D$6:$D$11, 0))=U$16,$H17*$E$2-$Q17+$R17,$H17*$E$2-$Q17-$I17)</f>
        <v>-6</v>
      </c>
      <c r="V17" s="6">
        <f t="shared" ref="V17:V36" si="7">IF(INDEX($B$6:$B$11,MATCH($C17,$D$6:$D$11, 0))=V$16,$J17*$E$2-$Q17+$R17,$J17*$E$2-$Q17-$K17)</f>
        <v>-17</v>
      </c>
      <c r="W17" s="6">
        <f t="shared" ref="W17:W36" si="8">IF(INDEX($B$6:$B$11,MATCH($C17,$D$6:$D$11, 0))=W$16,$L17*$E$2-$Q17+$R17,$L17*$E$2-$Q17-$M17)</f>
        <v>-17</v>
      </c>
      <c r="X17" s="6">
        <f t="shared" ref="X17:X36" si="9">IF(INDEX($B$6:$B$11,MATCH($C17,$D$6:$D$11, 0))=X$16,$N17*$E$2-$Q17+$R17,$N17*$E$2-$Q17-$O17)</f>
        <v>-17</v>
      </c>
    </row>
    <row r="18" ht="26.25" customHeight="1">
      <c r="A18" s="1"/>
      <c r="B18" s="33">
        <f t="shared" ref="B18:B36" si="10">if(ISBLANK(D17),"",B17+1)</f>
        <v>2</v>
      </c>
      <c r="C18" s="34" t="s">
        <v>15</v>
      </c>
      <c r="D18" s="35">
        <v>9.0</v>
      </c>
      <c r="E18" s="36">
        <v>0.0</v>
      </c>
      <c r="F18" s="37">
        <v>6.0</v>
      </c>
      <c r="G18" s="38">
        <v>0.0</v>
      </c>
      <c r="H18" s="37">
        <v>13.0</v>
      </c>
      <c r="I18" s="38">
        <v>0.0</v>
      </c>
      <c r="J18" s="37"/>
      <c r="K18" s="38"/>
      <c r="L18" s="37"/>
      <c r="M18" s="38"/>
      <c r="N18" s="37"/>
      <c r="O18" s="38"/>
      <c r="P18" s="6"/>
      <c r="Q18" s="6">
        <f t="shared" ref="Q18:R18" si="3">D18+F18+H18+J18+L18+N18</f>
        <v>28</v>
      </c>
      <c r="R18" s="6">
        <f t="shared" si="3"/>
        <v>0</v>
      </c>
      <c r="S18" s="6">
        <f t="shared" si="4"/>
        <v>-1</v>
      </c>
      <c r="T18" s="6">
        <f t="shared" si="5"/>
        <v>-10</v>
      </c>
      <c r="U18" s="6">
        <f t="shared" si="6"/>
        <v>11</v>
      </c>
      <c r="V18" s="6">
        <f t="shared" si="7"/>
        <v>-28</v>
      </c>
      <c r="W18" s="6">
        <f t="shared" si="8"/>
        <v>-28</v>
      </c>
      <c r="X18" s="6">
        <f t="shared" si="9"/>
        <v>-28</v>
      </c>
    </row>
    <row r="19" ht="26.25" customHeight="1">
      <c r="A19" s="1"/>
      <c r="B19" s="33">
        <f t="shared" si="10"/>
        <v>3</v>
      </c>
      <c r="C19" s="34" t="s">
        <v>21</v>
      </c>
      <c r="D19" s="35">
        <v>8.0</v>
      </c>
      <c r="E19" s="36">
        <v>10.0</v>
      </c>
      <c r="F19" s="37">
        <v>4.0</v>
      </c>
      <c r="G19" s="38">
        <v>3.0</v>
      </c>
      <c r="H19" s="37">
        <v>9.0</v>
      </c>
      <c r="I19" s="38">
        <v>0.0</v>
      </c>
      <c r="J19" s="37"/>
      <c r="K19" s="38"/>
      <c r="L19" s="37"/>
      <c r="M19" s="38"/>
      <c r="N19" s="37"/>
      <c r="O19" s="38"/>
      <c r="P19" s="6"/>
      <c r="Q19" s="6">
        <f t="shared" ref="Q19:R19" si="11">D19+F19+H19+J19+L19+N19</f>
        <v>21</v>
      </c>
      <c r="R19" s="6">
        <f t="shared" si="11"/>
        <v>13</v>
      </c>
      <c r="S19" s="6">
        <f t="shared" si="4"/>
        <v>-7</v>
      </c>
      <c r="T19" s="6">
        <f t="shared" si="5"/>
        <v>-12</v>
      </c>
      <c r="U19" s="6">
        <f t="shared" si="6"/>
        <v>19</v>
      </c>
      <c r="V19" s="6">
        <f t="shared" si="7"/>
        <v>-21</v>
      </c>
      <c r="W19" s="6">
        <f t="shared" si="8"/>
        <v>-21</v>
      </c>
      <c r="X19" s="6">
        <f t="shared" si="9"/>
        <v>-21</v>
      </c>
    </row>
    <row r="20" ht="26.25" customHeight="1">
      <c r="A20" s="1"/>
      <c r="B20" s="33">
        <f t="shared" si="10"/>
        <v>4</v>
      </c>
      <c r="C20" s="34" t="s">
        <v>15</v>
      </c>
      <c r="D20" s="35">
        <v>17.0</v>
      </c>
      <c r="E20" s="36">
        <v>0.0</v>
      </c>
      <c r="F20" s="37">
        <v>5.0</v>
      </c>
      <c r="G20" s="38">
        <v>10.0</v>
      </c>
      <c r="H20" s="37">
        <v>2.0</v>
      </c>
      <c r="I20" s="49">
        <v>2.0</v>
      </c>
      <c r="J20" s="39"/>
      <c r="K20" s="40"/>
      <c r="L20" s="39"/>
      <c r="M20" s="40"/>
      <c r="N20" s="41"/>
      <c r="O20" s="42"/>
      <c r="P20" s="6"/>
      <c r="Q20" s="6">
        <f t="shared" ref="Q20:R20" si="12">D20+F20+H20+J20+L20+N20</f>
        <v>24</v>
      </c>
      <c r="R20" s="6">
        <f t="shared" si="12"/>
        <v>12</v>
      </c>
      <c r="S20" s="6">
        <f t="shared" si="4"/>
        <v>39</v>
      </c>
      <c r="T20" s="6">
        <f t="shared" si="5"/>
        <v>-19</v>
      </c>
      <c r="U20" s="6">
        <f t="shared" si="6"/>
        <v>-20</v>
      </c>
      <c r="V20" s="6">
        <f t="shared" si="7"/>
        <v>-24</v>
      </c>
      <c r="W20" s="6">
        <f t="shared" si="8"/>
        <v>-24</v>
      </c>
      <c r="X20" s="6">
        <f t="shared" si="9"/>
        <v>-24</v>
      </c>
    </row>
    <row r="21" ht="26.25" customHeight="1">
      <c r="A21" s="1"/>
      <c r="B21" s="33">
        <f t="shared" si="10"/>
        <v>5</v>
      </c>
      <c r="C21" s="34" t="s">
        <v>21</v>
      </c>
      <c r="D21" s="35">
        <v>7.0</v>
      </c>
      <c r="E21" s="36">
        <v>0.0</v>
      </c>
      <c r="F21" s="37">
        <v>11.0</v>
      </c>
      <c r="G21" s="38">
        <v>7.0</v>
      </c>
      <c r="H21" s="37">
        <v>7.0</v>
      </c>
      <c r="I21" s="38">
        <v>0.0</v>
      </c>
      <c r="J21" s="39"/>
      <c r="K21" s="40"/>
      <c r="L21" s="39"/>
      <c r="M21" s="40"/>
      <c r="N21" s="41"/>
      <c r="O21" s="42"/>
      <c r="P21" s="6"/>
      <c r="Q21" s="6">
        <f t="shared" ref="Q21:R21" si="13">D21+F21+H21+J21+L21+N21</f>
        <v>25</v>
      </c>
      <c r="R21" s="6">
        <f t="shared" si="13"/>
        <v>7</v>
      </c>
      <c r="S21" s="6">
        <f t="shared" si="4"/>
        <v>-4</v>
      </c>
      <c r="T21" s="6">
        <f t="shared" si="5"/>
        <v>1</v>
      </c>
      <c r="U21" s="6">
        <f t="shared" si="6"/>
        <v>3</v>
      </c>
      <c r="V21" s="6">
        <f t="shared" si="7"/>
        <v>-25</v>
      </c>
      <c r="W21" s="6">
        <f t="shared" si="8"/>
        <v>-25</v>
      </c>
      <c r="X21" s="6">
        <f t="shared" si="9"/>
        <v>-25</v>
      </c>
    </row>
    <row r="22" ht="26.25" customHeight="1">
      <c r="A22" s="1"/>
      <c r="B22" s="33">
        <f t="shared" si="10"/>
        <v>6</v>
      </c>
      <c r="C22" s="34" t="s">
        <v>21</v>
      </c>
      <c r="D22" s="35">
        <v>11.0</v>
      </c>
      <c r="E22" s="36">
        <v>0.0</v>
      </c>
      <c r="F22" s="37">
        <v>4.0</v>
      </c>
      <c r="G22" s="38">
        <v>1.0</v>
      </c>
      <c r="H22" s="37">
        <v>7.0</v>
      </c>
      <c r="I22" s="38">
        <v>0.0</v>
      </c>
      <c r="J22" s="41"/>
      <c r="K22" s="42"/>
      <c r="L22" s="41"/>
      <c r="M22" s="42"/>
      <c r="N22" s="41"/>
      <c r="O22" s="42"/>
      <c r="P22" s="6"/>
      <c r="Q22" s="6">
        <f t="shared" ref="Q22:R22" si="14">D22+F22+H22+J22+L22+N22</f>
        <v>22</v>
      </c>
      <c r="R22" s="6">
        <f t="shared" si="14"/>
        <v>1</v>
      </c>
      <c r="S22" s="6">
        <f t="shared" si="4"/>
        <v>11</v>
      </c>
      <c r="T22" s="6">
        <f t="shared" si="5"/>
        <v>-11</v>
      </c>
      <c r="U22" s="6">
        <f t="shared" si="6"/>
        <v>0</v>
      </c>
      <c r="V22" s="6">
        <f t="shared" si="7"/>
        <v>-22</v>
      </c>
      <c r="W22" s="6">
        <f t="shared" si="8"/>
        <v>-22</v>
      </c>
      <c r="X22" s="6">
        <f t="shared" si="9"/>
        <v>-22</v>
      </c>
    </row>
    <row r="23" ht="26.25" customHeight="1">
      <c r="A23" s="1"/>
      <c r="B23" s="33">
        <f t="shared" si="10"/>
        <v>7</v>
      </c>
      <c r="C23" s="34" t="s">
        <v>16</v>
      </c>
      <c r="D23" s="35">
        <v>13.0</v>
      </c>
      <c r="E23" s="36">
        <v>0.0</v>
      </c>
      <c r="F23" s="37">
        <v>6.0</v>
      </c>
      <c r="G23" s="38">
        <v>0.0</v>
      </c>
      <c r="H23" s="37">
        <v>4.0</v>
      </c>
      <c r="I23" s="38">
        <v>0.0</v>
      </c>
      <c r="J23" s="41"/>
      <c r="K23" s="42"/>
      <c r="L23" s="41"/>
      <c r="M23" s="42"/>
      <c r="N23" s="41"/>
      <c r="O23" s="42"/>
      <c r="P23" s="6"/>
      <c r="Q23" s="6">
        <f t="shared" ref="Q23:R23" si="15">D23+F23+H23+J23+L23+N23</f>
        <v>23</v>
      </c>
      <c r="R23" s="6">
        <f t="shared" si="15"/>
        <v>0</v>
      </c>
      <c r="S23" s="6">
        <f t="shared" si="4"/>
        <v>16</v>
      </c>
      <c r="T23" s="6">
        <f t="shared" si="5"/>
        <v>-5</v>
      </c>
      <c r="U23" s="6">
        <f t="shared" si="6"/>
        <v>-11</v>
      </c>
      <c r="V23" s="6">
        <f t="shared" si="7"/>
        <v>-23</v>
      </c>
      <c r="W23" s="6">
        <f t="shared" si="8"/>
        <v>-23</v>
      </c>
      <c r="X23" s="6">
        <f t="shared" si="9"/>
        <v>-23</v>
      </c>
    </row>
    <row r="24" ht="26.25" customHeight="1">
      <c r="A24" s="1"/>
      <c r="B24" s="33">
        <f t="shared" si="10"/>
        <v>8</v>
      </c>
      <c r="C24" s="34" t="s">
        <v>16</v>
      </c>
      <c r="D24" s="35">
        <v>11.0</v>
      </c>
      <c r="E24" s="36">
        <v>9.0</v>
      </c>
      <c r="F24" s="37">
        <v>10.0</v>
      </c>
      <c r="G24" s="38">
        <v>0.0</v>
      </c>
      <c r="H24" s="37">
        <v>5.0</v>
      </c>
      <c r="I24" s="38">
        <v>0.0</v>
      </c>
      <c r="J24" s="41"/>
      <c r="K24" s="42"/>
      <c r="L24" s="41"/>
      <c r="M24" s="42"/>
      <c r="N24" s="41"/>
      <c r="O24" s="42"/>
      <c r="P24" s="6"/>
      <c r="Q24" s="6">
        <f t="shared" ref="Q24:R24" si="16">D24+F24+H24+J24+L24+N24</f>
        <v>26</v>
      </c>
      <c r="R24" s="6">
        <f t="shared" si="16"/>
        <v>9</v>
      </c>
      <c r="S24" s="6">
        <f t="shared" si="4"/>
        <v>-2</v>
      </c>
      <c r="T24" s="6">
        <f t="shared" si="5"/>
        <v>13</v>
      </c>
      <c r="U24" s="6">
        <f t="shared" si="6"/>
        <v>-11</v>
      </c>
      <c r="V24" s="6">
        <f t="shared" si="7"/>
        <v>-26</v>
      </c>
      <c r="W24" s="6">
        <f t="shared" si="8"/>
        <v>-26</v>
      </c>
      <c r="X24" s="6">
        <f t="shared" si="9"/>
        <v>-26</v>
      </c>
    </row>
    <row r="25" ht="26.25" customHeight="1">
      <c r="A25" s="1"/>
      <c r="B25" s="33">
        <f t="shared" si="10"/>
        <v>9</v>
      </c>
      <c r="C25" s="34" t="s">
        <v>21</v>
      </c>
      <c r="D25" s="35">
        <v>2.0</v>
      </c>
      <c r="E25" s="36">
        <v>1.0</v>
      </c>
      <c r="F25" s="37">
        <v>0.0</v>
      </c>
      <c r="G25" s="38">
        <v>4.0</v>
      </c>
      <c r="H25" s="37">
        <v>7.0</v>
      </c>
      <c r="I25" s="38">
        <v>0.0</v>
      </c>
      <c r="J25" s="41"/>
      <c r="K25" s="42"/>
      <c r="L25" s="41"/>
      <c r="M25" s="42"/>
      <c r="N25" s="41"/>
      <c r="O25" s="42"/>
      <c r="P25" s="6"/>
      <c r="Q25" s="6">
        <f t="shared" ref="Q25:R25" si="17">D25+F25+H25+J25+L25+N25</f>
        <v>9</v>
      </c>
      <c r="R25" s="6">
        <f t="shared" si="17"/>
        <v>5</v>
      </c>
      <c r="S25" s="6">
        <f t="shared" si="4"/>
        <v>-4</v>
      </c>
      <c r="T25" s="6">
        <f t="shared" si="5"/>
        <v>-13</v>
      </c>
      <c r="U25" s="6">
        <f t="shared" si="6"/>
        <v>17</v>
      </c>
      <c r="V25" s="6">
        <f t="shared" si="7"/>
        <v>-9</v>
      </c>
      <c r="W25" s="6">
        <f t="shared" si="8"/>
        <v>-9</v>
      </c>
      <c r="X25" s="6">
        <f t="shared" si="9"/>
        <v>-9</v>
      </c>
    </row>
    <row r="26" ht="26.25" customHeight="1">
      <c r="A26" s="1"/>
      <c r="B26" s="33">
        <f t="shared" si="10"/>
        <v>10</v>
      </c>
      <c r="C26" s="34"/>
      <c r="D26" s="35"/>
      <c r="E26" s="36"/>
      <c r="F26" s="41"/>
      <c r="G26" s="42"/>
      <c r="H26" s="41"/>
      <c r="I26" s="42"/>
      <c r="J26" s="41"/>
      <c r="K26" s="42"/>
      <c r="L26" s="41"/>
      <c r="M26" s="42"/>
      <c r="N26" s="41"/>
      <c r="O26" s="42"/>
      <c r="P26" s="6"/>
      <c r="Q26" s="6">
        <f t="shared" ref="Q26:R26" si="18">D26+F26+H26+J26+L26+N26</f>
        <v>0</v>
      </c>
      <c r="R26" s="6">
        <f t="shared" si="18"/>
        <v>0</v>
      </c>
      <c r="S26" s="6" t="str">
        <f t="shared" si="4"/>
        <v>#N/A</v>
      </c>
      <c r="T26" s="6" t="str">
        <f t="shared" si="5"/>
        <v>#N/A</v>
      </c>
      <c r="U26" s="6" t="str">
        <f t="shared" si="6"/>
        <v>#N/A</v>
      </c>
      <c r="V26" s="6" t="str">
        <f t="shared" si="7"/>
        <v>#N/A</v>
      </c>
      <c r="W26" s="6" t="str">
        <f t="shared" si="8"/>
        <v>#N/A</v>
      </c>
      <c r="X26" s="6" t="str">
        <f t="shared" si="9"/>
        <v>#N/A</v>
      </c>
    </row>
    <row r="27" ht="26.25" customHeight="1">
      <c r="A27" s="1"/>
      <c r="B27" s="33" t="str">
        <f t="shared" si="10"/>
        <v/>
      </c>
      <c r="C27" s="34"/>
      <c r="D27" s="35"/>
      <c r="E27" s="36"/>
      <c r="F27" s="41"/>
      <c r="G27" s="42"/>
      <c r="H27" s="41"/>
      <c r="I27" s="42"/>
      <c r="J27" s="41"/>
      <c r="K27" s="42"/>
      <c r="L27" s="41"/>
      <c r="M27" s="42"/>
      <c r="N27" s="41"/>
      <c r="O27" s="42"/>
      <c r="P27" s="6"/>
      <c r="Q27" s="6">
        <f t="shared" ref="Q27:R27" si="19">D27+F27+H27+J27+L27+N27</f>
        <v>0</v>
      </c>
      <c r="R27" s="6">
        <f t="shared" si="19"/>
        <v>0</v>
      </c>
      <c r="S27" s="6" t="str">
        <f t="shared" si="4"/>
        <v>#N/A</v>
      </c>
      <c r="T27" s="6" t="str">
        <f t="shared" si="5"/>
        <v>#N/A</v>
      </c>
      <c r="U27" s="6" t="str">
        <f t="shared" si="6"/>
        <v>#N/A</v>
      </c>
      <c r="V27" s="6" t="str">
        <f t="shared" si="7"/>
        <v>#N/A</v>
      </c>
      <c r="W27" s="6" t="str">
        <f t="shared" si="8"/>
        <v>#N/A</v>
      </c>
      <c r="X27" s="6" t="str">
        <f t="shared" si="9"/>
        <v>#N/A</v>
      </c>
    </row>
    <row r="28" ht="26.25" customHeight="1">
      <c r="A28" s="1"/>
      <c r="B28" s="33" t="str">
        <f t="shared" si="10"/>
        <v/>
      </c>
      <c r="C28" s="34"/>
      <c r="D28" s="35"/>
      <c r="E28" s="36"/>
      <c r="F28" s="41"/>
      <c r="G28" s="42"/>
      <c r="H28" s="41"/>
      <c r="I28" s="42"/>
      <c r="J28" s="41"/>
      <c r="K28" s="42"/>
      <c r="L28" s="41"/>
      <c r="M28" s="42"/>
      <c r="N28" s="41"/>
      <c r="O28" s="42"/>
      <c r="P28" s="6"/>
      <c r="Q28" s="6">
        <f t="shared" ref="Q28:R28" si="20">D28+F28+H28+J28+L28+N28</f>
        <v>0</v>
      </c>
      <c r="R28" s="6">
        <f t="shared" si="20"/>
        <v>0</v>
      </c>
      <c r="S28" s="6" t="str">
        <f t="shared" si="4"/>
        <v>#N/A</v>
      </c>
      <c r="T28" s="6" t="str">
        <f t="shared" si="5"/>
        <v>#N/A</v>
      </c>
      <c r="U28" s="6" t="str">
        <f t="shared" si="6"/>
        <v>#N/A</v>
      </c>
      <c r="V28" s="6" t="str">
        <f t="shared" si="7"/>
        <v>#N/A</v>
      </c>
      <c r="W28" s="6" t="str">
        <f t="shared" si="8"/>
        <v>#N/A</v>
      </c>
      <c r="X28" s="6" t="str">
        <f t="shared" si="9"/>
        <v>#N/A</v>
      </c>
    </row>
    <row r="29" ht="26.25" customHeight="1">
      <c r="A29" s="1"/>
      <c r="B29" s="33" t="str">
        <f t="shared" si="10"/>
        <v/>
      </c>
      <c r="C29" s="34"/>
      <c r="D29" s="35"/>
      <c r="E29" s="36"/>
      <c r="F29" s="41"/>
      <c r="G29" s="42"/>
      <c r="H29" s="41"/>
      <c r="I29" s="42"/>
      <c r="J29" s="41"/>
      <c r="K29" s="42"/>
      <c r="L29" s="41"/>
      <c r="M29" s="42"/>
      <c r="N29" s="41"/>
      <c r="O29" s="42"/>
      <c r="P29" s="6"/>
      <c r="Q29" s="6">
        <f t="shared" ref="Q29:R29" si="21">D29+F29+H29+J29+L29+N29</f>
        <v>0</v>
      </c>
      <c r="R29" s="6">
        <f t="shared" si="21"/>
        <v>0</v>
      </c>
      <c r="S29" s="6" t="str">
        <f t="shared" si="4"/>
        <v>#N/A</v>
      </c>
      <c r="T29" s="6" t="str">
        <f t="shared" si="5"/>
        <v>#N/A</v>
      </c>
      <c r="U29" s="6" t="str">
        <f t="shared" si="6"/>
        <v>#N/A</v>
      </c>
      <c r="V29" s="6" t="str">
        <f t="shared" si="7"/>
        <v>#N/A</v>
      </c>
      <c r="W29" s="6" t="str">
        <f t="shared" si="8"/>
        <v>#N/A</v>
      </c>
      <c r="X29" s="6" t="str">
        <f t="shared" si="9"/>
        <v>#N/A</v>
      </c>
    </row>
    <row r="30" ht="26.25" customHeight="1">
      <c r="A30" s="1"/>
      <c r="B30" s="33" t="str">
        <f t="shared" si="10"/>
        <v/>
      </c>
      <c r="C30" s="34"/>
      <c r="D30" s="35"/>
      <c r="E30" s="36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6"/>
      <c r="Q30" s="6">
        <f t="shared" ref="Q30:R30" si="22">D30+F30+H30+J30+L30+N30</f>
        <v>0</v>
      </c>
      <c r="R30" s="6">
        <f t="shared" si="22"/>
        <v>0</v>
      </c>
      <c r="S30" s="6" t="str">
        <f t="shared" si="4"/>
        <v>#N/A</v>
      </c>
      <c r="T30" s="6" t="str">
        <f t="shared" si="5"/>
        <v>#N/A</v>
      </c>
      <c r="U30" s="6" t="str">
        <f t="shared" si="6"/>
        <v>#N/A</v>
      </c>
      <c r="V30" s="6" t="str">
        <f t="shared" si="7"/>
        <v>#N/A</v>
      </c>
      <c r="W30" s="6" t="str">
        <f t="shared" si="8"/>
        <v>#N/A</v>
      </c>
      <c r="X30" s="6" t="str">
        <f t="shared" si="9"/>
        <v>#N/A</v>
      </c>
    </row>
    <row r="31" ht="26.25" customHeight="1">
      <c r="A31" s="1"/>
      <c r="B31" s="33" t="str">
        <f t="shared" si="10"/>
        <v/>
      </c>
      <c r="C31" s="34"/>
      <c r="D31" s="35"/>
      <c r="E31" s="36"/>
      <c r="F31" s="41"/>
      <c r="G31" s="42"/>
      <c r="H31" s="41"/>
      <c r="I31" s="42"/>
      <c r="J31" s="41"/>
      <c r="K31" s="42"/>
      <c r="L31" s="41"/>
      <c r="M31" s="42"/>
      <c r="N31" s="41"/>
      <c r="O31" s="42"/>
      <c r="P31" s="6"/>
      <c r="Q31" s="6">
        <f t="shared" ref="Q31:R31" si="23">D31+F31+H31+J31+L31+N31</f>
        <v>0</v>
      </c>
      <c r="R31" s="6">
        <f t="shared" si="23"/>
        <v>0</v>
      </c>
      <c r="S31" s="6" t="str">
        <f t="shared" si="4"/>
        <v>#N/A</v>
      </c>
      <c r="T31" s="6" t="str">
        <f t="shared" si="5"/>
        <v>#N/A</v>
      </c>
      <c r="U31" s="6" t="str">
        <f t="shared" si="6"/>
        <v>#N/A</v>
      </c>
      <c r="V31" s="6" t="str">
        <f t="shared" si="7"/>
        <v>#N/A</v>
      </c>
      <c r="W31" s="6" t="str">
        <f t="shared" si="8"/>
        <v>#N/A</v>
      </c>
      <c r="X31" s="6" t="str">
        <f t="shared" si="9"/>
        <v>#N/A</v>
      </c>
    </row>
    <row r="32" ht="26.25" customHeight="1">
      <c r="A32" s="1"/>
      <c r="B32" s="33" t="str">
        <f t="shared" si="10"/>
        <v/>
      </c>
      <c r="C32" s="34"/>
      <c r="D32" s="35"/>
      <c r="E32" s="36"/>
      <c r="F32" s="41"/>
      <c r="G32" s="42"/>
      <c r="H32" s="41"/>
      <c r="I32" s="42"/>
      <c r="J32" s="41"/>
      <c r="K32" s="42"/>
      <c r="L32" s="41"/>
      <c r="M32" s="42"/>
      <c r="N32" s="41"/>
      <c r="O32" s="42"/>
      <c r="P32" s="6"/>
      <c r="Q32" s="6">
        <f t="shared" ref="Q32:R32" si="24">D32+F32+H32+J32+L32+N32</f>
        <v>0</v>
      </c>
      <c r="R32" s="6">
        <f t="shared" si="24"/>
        <v>0</v>
      </c>
      <c r="S32" s="6" t="str">
        <f t="shared" si="4"/>
        <v>#N/A</v>
      </c>
      <c r="T32" s="6" t="str">
        <f t="shared" si="5"/>
        <v>#N/A</v>
      </c>
      <c r="U32" s="6" t="str">
        <f t="shared" si="6"/>
        <v>#N/A</v>
      </c>
      <c r="V32" s="6" t="str">
        <f t="shared" si="7"/>
        <v>#N/A</v>
      </c>
      <c r="W32" s="6" t="str">
        <f t="shared" si="8"/>
        <v>#N/A</v>
      </c>
      <c r="X32" s="6" t="str">
        <f t="shared" si="9"/>
        <v>#N/A</v>
      </c>
    </row>
    <row r="33" ht="26.25" customHeight="1">
      <c r="A33" s="1"/>
      <c r="B33" s="33" t="str">
        <f t="shared" si="10"/>
        <v/>
      </c>
      <c r="C33" s="34"/>
      <c r="D33" s="35"/>
      <c r="E33" s="36"/>
      <c r="F33" s="41"/>
      <c r="G33" s="42"/>
      <c r="H33" s="41"/>
      <c r="I33" s="42"/>
      <c r="J33" s="41"/>
      <c r="K33" s="42"/>
      <c r="L33" s="41"/>
      <c r="M33" s="42"/>
      <c r="N33" s="41"/>
      <c r="O33" s="42"/>
      <c r="P33" s="6"/>
      <c r="Q33" s="6">
        <f t="shared" ref="Q33:R33" si="25">D33+F33+H33+J33+L33+N33</f>
        <v>0</v>
      </c>
      <c r="R33" s="6">
        <f t="shared" si="25"/>
        <v>0</v>
      </c>
      <c r="S33" s="6" t="str">
        <f t="shared" si="4"/>
        <v>#N/A</v>
      </c>
      <c r="T33" s="6" t="str">
        <f t="shared" si="5"/>
        <v>#N/A</v>
      </c>
      <c r="U33" s="6" t="str">
        <f t="shared" si="6"/>
        <v>#N/A</v>
      </c>
      <c r="V33" s="6" t="str">
        <f t="shared" si="7"/>
        <v>#N/A</v>
      </c>
      <c r="W33" s="6" t="str">
        <f t="shared" si="8"/>
        <v>#N/A</v>
      </c>
      <c r="X33" s="6" t="str">
        <f t="shared" si="9"/>
        <v>#N/A</v>
      </c>
    </row>
    <row r="34" ht="26.25" customHeight="1">
      <c r="A34" s="1"/>
      <c r="B34" s="33" t="str">
        <f t="shared" si="10"/>
        <v/>
      </c>
      <c r="C34" s="34"/>
      <c r="D34" s="35"/>
      <c r="E34" s="36"/>
      <c r="F34" s="41"/>
      <c r="G34" s="42"/>
      <c r="H34" s="41"/>
      <c r="I34" s="42"/>
      <c r="J34" s="41"/>
      <c r="K34" s="42"/>
      <c r="L34" s="41"/>
      <c r="M34" s="42"/>
      <c r="N34" s="41"/>
      <c r="O34" s="42"/>
      <c r="P34" s="6"/>
      <c r="Q34" s="6">
        <f t="shared" ref="Q34:R34" si="26">D34+F34+H34+J34+L34+N34</f>
        <v>0</v>
      </c>
      <c r="R34" s="6">
        <f t="shared" si="26"/>
        <v>0</v>
      </c>
      <c r="S34" s="6" t="str">
        <f t="shared" si="4"/>
        <v>#N/A</v>
      </c>
      <c r="T34" s="6" t="str">
        <f t="shared" si="5"/>
        <v>#N/A</v>
      </c>
      <c r="U34" s="6" t="str">
        <f t="shared" si="6"/>
        <v>#N/A</v>
      </c>
      <c r="V34" s="6" t="str">
        <f t="shared" si="7"/>
        <v>#N/A</v>
      </c>
      <c r="W34" s="6" t="str">
        <f t="shared" si="8"/>
        <v>#N/A</v>
      </c>
      <c r="X34" s="6" t="str">
        <f t="shared" si="9"/>
        <v>#N/A</v>
      </c>
    </row>
    <row r="35" ht="26.25" customHeight="1">
      <c r="A35" s="1"/>
      <c r="B35" s="33" t="str">
        <f t="shared" si="10"/>
        <v/>
      </c>
      <c r="C35" s="34"/>
      <c r="D35" s="35"/>
      <c r="E35" s="36"/>
      <c r="F35" s="41"/>
      <c r="G35" s="42"/>
      <c r="H35" s="41"/>
      <c r="I35" s="42"/>
      <c r="J35" s="41"/>
      <c r="K35" s="42"/>
      <c r="L35" s="41"/>
      <c r="M35" s="42"/>
      <c r="N35" s="41"/>
      <c r="O35" s="42"/>
      <c r="P35" s="6"/>
      <c r="Q35" s="6">
        <f t="shared" ref="Q35:R35" si="27">D35+F35+H35+J35+L35+N35</f>
        <v>0</v>
      </c>
      <c r="R35" s="6">
        <f t="shared" si="27"/>
        <v>0</v>
      </c>
      <c r="S35" s="6" t="str">
        <f t="shared" si="4"/>
        <v>#N/A</v>
      </c>
      <c r="T35" s="6" t="str">
        <f t="shared" si="5"/>
        <v>#N/A</v>
      </c>
      <c r="U35" s="6" t="str">
        <f t="shared" si="6"/>
        <v>#N/A</v>
      </c>
      <c r="V35" s="6" t="str">
        <f t="shared" si="7"/>
        <v>#N/A</v>
      </c>
      <c r="W35" s="6" t="str">
        <f t="shared" si="8"/>
        <v>#N/A</v>
      </c>
      <c r="X35" s="6" t="str">
        <f t="shared" si="9"/>
        <v>#N/A</v>
      </c>
    </row>
    <row r="36" ht="26.25" customHeight="1">
      <c r="A36" s="1"/>
      <c r="B36" s="43" t="str">
        <f t="shared" si="10"/>
        <v/>
      </c>
      <c r="C36" s="44"/>
      <c r="D36" s="45"/>
      <c r="E36" s="46"/>
      <c r="F36" s="47"/>
      <c r="G36" s="48"/>
      <c r="H36" s="47"/>
      <c r="I36" s="48"/>
      <c r="J36" s="47"/>
      <c r="K36" s="48"/>
      <c r="L36" s="47"/>
      <c r="M36" s="48"/>
      <c r="N36" s="47"/>
      <c r="O36" s="48"/>
      <c r="P36" s="6"/>
      <c r="Q36" s="6">
        <f t="shared" ref="Q36:R36" si="28">D36+F36+H36+J36+L36+N36</f>
        <v>0</v>
      </c>
      <c r="R36" s="6">
        <f t="shared" si="28"/>
        <v>0</v>
      </c>
      <c r="S36" s="6" t="str">
        <f t="shared" si="4"/>
        <v>#N/A</v>
      </c>
      <c r="T36" s="6" t="str">
        <f t="shared" si="5"/>
        <v>#N/A</v>
      </c>
      <c r="U36" s="6" t="str">
        <f t="shared" si="6"/>
        <v>#N/A</v>
      </c>
      <c r="V36" s="6" t="str">
        <f t="shared" si="7"/>
        <v>#N/A</v>
      </c>
      <c r="W36" s="6" t="str">
        <f t="shared" si="8"/>
        <v>#N/A</v>
      </c>
      <c r="X36" s="6" t="str">
        <f t="shared" si="9"/>
        <v>#N/A</v>
      </c>
    </row>
    <row r="37" ht="15.0" customHeight="1">
      <c r="A37" s="1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</row>
  </sheetData>
  <mergeCells count="23">
    <mergeCell ref="B8:C8"/>
    <mergeCell ref="B9:C9"/>
    <mergeCell ref="B10:C10"/>
    <mergeCell ref="B11:C11"/>
    <mergeCell ref="B15:B16"/>
    <mergeCell ref="C15:C16"/>
    <mergeCell ref="B2:D2"/>
    <mergeCell ref="B4:E4"/>
    <mergeCell ref="B6:C6"/>
    <mergeCell ref="D6:E6"/>
    <mergeCell ref="B7:C7"/>
    <mergeCell ref="D7:E7"/>
    <mergeCell ref="D8:E8"/>
    <mergeCell ref="J15:K15"/>
    <mergeCell ref="L15:M15"/>
    <mergeCell ref="N15:O15"/>
    <mergeCell ref="D9:E9"/>
    <mergeCell ref="D10:E10"/>
    <mergeCell ref="D11:E11"/>
    <mergeCell ref="B13:E13"/>
    <mergeCell ref="D15:E15"/>
    <mergeCell ref="F15:G15"/>
    <mergeCell ref="H15:I15"/>
  </mergeCells>
  <conditionalFormatting sqref="E2">
    <cfRule type="notContainsBlanks" dxfId="0" priority="1">
      <formula>LEN(TRIM(E2))&gt;0</formula>
    </cfRule>
  </conditionalFormatting>
  <conditionalFormatting sqref="D6:E6">
    <cfRule type="expression" dxfId="1" priority="2">
      <formula>AND(ISBLANK(D6:E6),E2&gt;0)</formula>
    </cfRule>
  </conditionalFormatting>
  <conditionalFormatting sqref="G5 G14">
    <cfRule type="notContainsBlanks" dxfId="0" priority="3">
      <formula>LEN(TRIM(G5))&gt;0</formula>
    </cfRule>
  </conditionalFormatting>
  <conditionalFormatting sqref="D7:E7">
    <cfRule type="expression" dxfId="1" priority="4">
      <formula>AND(ISBLANK(D7:E7),E2&gt;1)</formula>
    </cfRule>
  </conditionalFormatting>
  <conditionalFormatting sqref="D8:E8">
    <cfRule type="expression" dxfId="1" priority="5">
      <formula>AND(ISBLANK(D8:E8),E2&gt;2)</formula>
    </cfRule>
  </conditionalFormatting>
  <conditionalFormatting sqref="D9:E9">
    <cfRule type="expression" dxfId="1" priority="6">
      <formula>AND(ISBLANK(D9:E9),E2&gt;3)</formula>
    </cfRule>
  </conditionalFormatting>
  <conditionalFormatting sqref="D10:E10">
    <cfRule type="expression" dxfId="1" priority="7">
      <formula>AND(ISBLANK(D10:E10),E2&gt;4)</formula>
    </cfRule>
  </conditionalFormatting>
  <conditionalFormatting sqref="D11:E11">
    <cfRule type="expression" dxfId="1" priority="8">
      <formula>AND(ISBLANK(D11:E11),E2&gt;5)</formula>
    </cfRule>
  </conditionalFormatting>
  <conditionalFormatting sqref="D6:E6">
    <cfRule type="expression" dxfId="0" priority="9">
      <formula>AND(NOT(ISBLANK(D6:E6)),E2&gt;0)</formula>
    </cfRule>
  </conditionalFormatting>
  <conditionalFormatting sqref="D7:E7">
    <cfRule type="expression" dxfId="0" priority="10">
      <formula>AND(NOT(ISBLANK(D7:E7)),E2&gt;1)</formula>
    </cfRule>
  </conditionalFormatting>
  <conditionalFormatting sqref="D8:E8">
    <cfRule type="expression" dxfId="0" priority="11">
      <formula>AND(NOT(ISBLANK(D8:E8)),E2&gt;2)</formula>
    </cfRule>
  </conditionalFormatting>
  <conditionalFormatting sqref="D9:E9">
    <cfRule type="expression" dxfId="0" priority="12">
      <formula>AND(NOT(ISBLANK(D9:E9)),E2&gt;3)</formula>
    </cfRule>
  </conditionalFormatting>
  <conditionalFormatting sqref="D10:E10">
    <cfRule type="expression" dxfId="0" priority="13">
      <formula>AND(NOT(ISBLANK(D10:E10)),E2&gt;4)</formula>
    </cfRule>
  </conditionalFormatting>
  <conditionalFormatting sqref="D11:E11">
    <cfRule type="expression" dxfId="0" priority="14">
      <formula>AND(NOT(ISBLANK(D11:E11)),E2&gt;5)</formula>
    </cfRule>
  </conditionalFormatting>
  <conditionalFormatting sqref="C18:O36">
    <cfRule type="expression" dxfId="2" priority="15">
      <formula>ISBLANK(C17)</formula>
    </cfRule>
  </conditionalFormatting>
  <conditionalFormatting sqref="C17:O36">
    <cfRule type="notContainsBlanks" dxfId="0" priority="16">
      <formula>LEN(TRIM(C17))&gt;0</formula>
    </cfRule>
  </conditionalFormatting>
  <conditionalFormatting sqref="D17:E36">
    <cfRule type="expression" dxfId="1" priority="17">
      <formula>$E$2&gt;0</formula>
    </cfRule>
  </conditionalFormatting>
  <conditionalFormatting sqref="F17:G36">
    <cfRule type="expression" dxfId="1" priority="18">
      <formula>$E$2&gt;1</formula>
    </cfRule>
  </conditionalFormatting>
  <conditionalFormatting sqref="H17:I36">
    <cfRule type="expression" dxfId="1" priority="19">
      <formula>$E$2&gt;2</formula>
    </cfRule>
  </conditionalFormatting>
  <conditionalFormatting sqref="J17:K36">
    <cfRule type="expression" dxfId="1" priority="20">
      <formula>$E$2&gt;3</formula>
    </cfRule>
  </conditionalFormatting>
  <conditionalFormatting sqref="L17:M36">
    <cfRule type="expression" dxfId="1" priority="21">
      <formula>$E$2&gt;4</formula>
    </cfRule>
  </conditionalFormatting>
  <conditionalFormatting sqref="N17:O36">
    <cfRule type="expression" dxfId="1" priority="22">
      <formula>$E$2&gt;5</formula>
    </cfRule>
  </conditionalFormatting>
  <conditionalFormatting sqref="F6:F11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C18:C36">
    <cfRule type="expression" dxfId="1" priority="24">
      <formula>NOT(ISBLANK(C17))</formula>
    </cfRule>
  </conditionalFormatting>
  <dataValidations>
    <dataValidation type="list" allowBlank="1" showErrorMessage="1" sqref="C17:C36">
      <formula1>'6th Jan'!$D$6:$D$11</formula1>
    </dataValidation>
    <dataValidation type="list" allowBlank="1" showErrorMessage="1" sqref="E2">
      <formula1>"2,3,4,5,6"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5" width="17.29"/>
    <col customWidth="1" min="16" max="16" width="3.71"/>
    <col customWidth="1" hidden="1" min="17" max="20" width="14.43"/>
    <col hidden="1" min="21" max="24" width="14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>
      <c r="A2" s="1"/>
      <c r="B2" s="2" t="s">
        <v>0</v>
      </c>
      <c r="C2" s="3"/>
      <c r="D2" s="4"/>
      <c r="E2" s="5">
        <v>3.0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</row>
    <row r="3" ht="15.0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</row>
    <row r="4" ht="26.25" customHeight="1">
      <c r="A4" s="1"/>
      <c r="B4" s="8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</row>
    <row r="5" ht="15.0" customHeight="1">
      <c r="A5" s="1"/>
      <c r="B5" s="9"/>
      <c r="C5" s="9"/>
      <c r="D5" s="10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</row>
    <row r="6" ht="26.25" customHeight="1">
      <c r="A6" s="1"/>
      <c r="B6" s="11" t="s">
        <v>2</v>
      </c>
      <c r="C6" s="12"/>
      <c r="D6" s="50" t="s">
        <v>16</v>
      </c>
      <c r="E6" s="12"/>
      <c r="F6" s="14">
        <f>IF($E$2&gt;0,S15,"")</f>
        <v>-3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</row>
    <row r="7" ht="26.25" customHeight="1">
      <c r="A7" s="1"/>
      <c r="B7" s="15" t="s">
        <v>3</v>
      </c>
      <c r="C7" s="16"/>
      <c r="D7" s="50" t="s">
        <v>15</v>
      </c>
      <c r="E7" s="12"/>
      <c r="F7" s="14">
        <f>IF($E$2&gt;1,T15,"")</f>
        <v>-8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</row>
    <row r="8" ht="26.25" customHeight="1">
      <c r="A8" s="1"/>
      <c r="B8" s="15" t="s">
        <v>4</v>
      </c>
      <c r="C8" s="16"/>
      <c r="D8" s="50" t="s">
        <v>21</v>
      </c>
      <c r="E8" s="12"/>
      <c r="F8" s="14">
        <f>IF($E$2&gt;2,U15,"")</f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</row>
    <row r="9" ht="26.25" customHeight="1">
      <c r="A9" s="1"/>
      <c r="B9" s="15" t="s">
        <v>5</v>
      </c>
      <c r="C9" s="16"/>
      <c r="D9" s="50"/>
      <c r="E9" s="12"/>
      <c r="F9" s="14" t="str">
        <f>IF($E$2&gt;3,V15,"")</f>
        <v/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</row>
    <row r="10" ht="26.25" customHeight="1">
      <c r="A10" s="1"/>
      <c r="B10" s="15" t="s">
        <v>6</v>
      </c>
      <c r="C10" s="16"/>
      <c r="D10" s="50"/>
      <c r="E10" s="12"/>
      <c r="F10" s="14" t="str">
        <f>IF($E$2&gt;4,W15,"")</f>
        <v/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  <c r="V10" s="1"/>
      <c r="W10" s="1"/>
      <c r="X10" s="1"/>
    </row>
    <row r="11" ht="26.25" customHeight="1">
      <c r="A11" s="1"/>
      <c r="B11" s="17" t="s">
        <v>7</v>
      </c>
      <c r="C11" s="18"/>
      <c r="D11" s="51"/>
      <c r="E11" s="4"/>
      <c r="F11" s="14" t="str">
        <f>IF($E$2&gt;5,X15,"")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  <c r="V11" s="1"/>
      <c r="W11" s="1"/>
      <c r="X11" s="1"/>
    </row>
    <row r="12" ht="15.0" customHeight="1">
      <c r="A12" s="1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  <c r="V12" s="1"/>
      <c r="W12" s="1"/>
      <c r="X12" s="1"/>
    </row>
    <row r="13" ht="26.25" customHeight="1">
      <c r="A13" s="1"/>
      <c r="B13" s="8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  <c r="V13" s="1"/>
      <c r="W13" s="1"/>
      <c r="X13" s="1"/>
    </row>
    <row r="14" ht="15.0" customHeight="1">
      <c r="A14" s="1"/>
      <c r="B14" s="9"/>
      <c r="C14" s="9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  <c r="V14" s="1"/>
      <c r="W14" s="1"/>
      <c r="X14" s="1"/>
    </row>
    <row r="15" ht="26.25" customHeight="1">
      <c r="A15" s="1"/>
      <c r="B15" s="20" t="s">
        <v>9</v>
      </c>
      <c r="C15" s="20" t="s">
        <v>10</v>
      </c>
      <c r="D15" s="21" t="str">
        <f>D6</f>
        <v>Anon P1</v>
      </c>
      <c r="E15" s="22"/>
      <c r="F15" s="21" t="str">
        <f>D7</f>
        <v>Anon P2</v>
      </c>
      <c r="G15" s="22"/>
      <c r="H15" s="21" t="str">
        <f>D8</f>
        <v>Anon P3</v>
      </c>
      <c r="I15" s="22"/>
      <c r="J15" s="21" t="str">
        <f>D9</f>
        <v/>
      </c>
      <c r="K15" s="22"/>
      <c r="L15" s="21" t="str">
        <f>D10</f>
        <v/>
      </c>
      <c r="M15" s="22"/>
      <c r="N15" s="21" t="str">
        <f>D11</f>
        <v/>
      </c>
      <c r="O15" s="22"/>
      <c r="P15" s="6"/>
      <c r="Q15" s="6"/>
      <c r="R15" s="6"/>
      <c r="S15" s="6">
        <f t="shared" ref="S15:X15" si="1">SUM(IFNA(S17:S36,""))</f>
        <v>-3</v>
      </c>
      <c r="T15" s="6">
        <f t="shared" si="1"/>
        <v>-8</v>
      </c>
      <c r="U15" s="6">
        <f t="shared" si="1"/>
        <v>11</v>
      </c>
      <c r="V15" s="6">
        <f t="shared" si="1"/>
        <v>-148</v>
      </c>
      <c r="W15" s="6">
        <f t="shared" si="1"/>
        <v>-148</v>
      </c>
      <c r="X15" s="6">
        <f t="shared" si="1"/>
        <v>-148</v>
      </c>
    </row>
    <row r="16" ht="26.25" customHeight="1">
      <c r="A16" s="1"/>
      <c r="B16" s="23"/>
      <c r="C16" s="23"/>
      <c r="D16" s="24" t="s">
        <v>11</v>
      </c>
      <c r="E16" s="25" t="s">
        <v>12</v>
      </c>
      <c r="F16" s="26" t="s">
        <v>11</v>
      </c>
      <c r="G16" s="25" t="s">
        <v>12</v>
      </c>
      <c r="H16" s="26" t="s">
        <v>11</v>
      </c>
      <c r="I16" s="25" t="s">
        <v>12</v>
      </c>
      <c r="J16" s="26" t="s">
        <v>11</v>
      </c>
      <c r="K16" s="25" t="s">
        <v>12</v>
      </c>
      <c r="L16" s="26" t="s">
        <v>11</v>
      </c>
      <c r="M16" s="25" t="s">
        <v>12</v>
      </c>
      <c r="N16" s="26" t="s">
        <v>11</v>
      </c>
      <c r="O16" s="25" t="s">
        <v>12</v>
      </c>
      <c r="P16" s="6"/>
      <c r="Q16" s="7" t="s">
        <v>13</v>
      </c>
      <c r="R16" s="7" t="s">
        <v>14</v>
      </c>
      <c r="S16" s="7" t="s">
        <v>2</v>
      </c>
      <c r="T16" s="7" t="s">
        <v>3</v>
      </c>
      <c r="U16" s="7" t="s">
        <v>4</v>
      </c>
      <c r="V16" s="7" t="s">
        <v>5</v>
      </c>
      <c r="W16" s="7" t="s">
        <v>6</v>
      </c>
      <c r="X16" s="7" t="s">
        <v>7</v>
      </c>
    </row>
    <row r="17" ht="26.25" customHeight="1">
      <c r="A17" s="1"/>
      <c r="B17" s="27">
        <f>if(ISBLANK(E2),"",1)</f>
        <v>1</v>
      </c>
      <c r="C17" s="28" t="s">
        <v>15</v>
      </c>
      <c r="D17" s="29">
        <v>5.0</v>
      </c>
      <c r="E17" s="30">
        <v>10.0</v>
      </c>
      <c r="F17" s="31">
        <v>4.0</v>
      </c>
      <c r="G17" s="32">
        <v>0.0</v>
      </c>
      <c r="H17" s="31">
        <v>16.0</v>
      </c>
      <c r="I17" s="32">
        <v>1.0</v>
      </c>
      <c r="J17" s="31"/>
      <c r="K17" s="32"/>
      <c r="L17" s="31"/>
      <c r="M17" s="32"/>
      <c r="N17" s="31"/>
      <c r="O17" s="32"/>
      <c r="P17" s="6"/>
      <c r="Q17" s="6">
        <f t="shared" ref="Q17:R17" si="2">D17+F17+H17+J17+L17+N17</f>
        <v>25</v>
      </c>
      <c r="R17" s="6">
        <f t="shared" si="2"/>
        <v>11</v>
      </c>
      <c r="S17" s="6">
        <f t="shared" ref="S17:S36" si="4">IF(INDEX($B$6:$B$11,MATCH($C17,$D$6:$D$11, 0))=S$16,$D17*$E$2-$Q17+$R17,$D17*$E$2-$Q17-$E17)</f>
        <v>-20</v>
      </c>
      <c r="T17" s="6">
        <f t="shared" ref="T17:T36" si="5">IF(INDEX($B$6:$B$11,MATCH($C17,$D$6:$D$11, 0))=T$16,$F17*$E$2-$Q17+$R17,$F17*$E$2-$Q17-$G17)</f>
        <v>-2</v>
      </c>
      <c r="U17" s="6">
        <f t="shared" ref="U17:U36" si="6">IF(INDEX($B$6:$B$11,MATCH($C17,$D$6:$D$11, 0))=U$16,$H17*$E$2-$Q17+$R17,$H17*$E$2-$Q17-$I17)</f>
        <v>22</v>
      </c>
      <c r="V17" s="6">
        <f t="shared" ref="V17:V36" si="7">IF(INDEX($B$6:$B$11,MATCH($C17,$D$6:$D$11, 0))=V$16,$J17*$E$2-$Q17+$R17,$J17*$E$2-$Q17-$K17)</f>
        <v>-25</v>
      </c>
      <c r="W17" s="6">
        <f t="shared" ref="W17:W36" si="8">IF(INDEX($B$6:$B$11,MATCH($C17,$D$6:$D$11, 0))=W$16,$L17*$E$2-$Q17+$R17,$L17*$E$2-$Q17-$M17)</f>
        <v>-25</v>
      </c>
      <c r="X17" s="6">
        <f t="shared" ref="X17:X36" si="9">IF(INDEX($B$6:$B$11,MATCH($C17,$D$6:$D$11, 0))=X$16,$N17*$E$2-$Q17+$R17,$N17*$E$2-$Q17-$O17)</f>
        <v>-25</v>
      </c>
    </row>
    <row r="18" ht="26.25" customHeight="1">
      <c r="A18" s="1"/>
      <c r="B18" s="33">
        <f t="shared" ref="B18:B36" si="10">if(ISBLANK(D17),"",B17+1)</f>
        <v>2</v>
      </c>
      <c r="C18" s="34" t="s">
        <v>16</v>
      </c>
      <c r="D18" s="35">
        <v>5.0</v>
      </c>
      <c r="E18" s="36">
        <v>0.0</v>
      </c>
      <c r="F18" s="37">
        <v>5.0</v>
      </c>
      <c r="G18" s="38">
        <v>1.0</v>
      </c>
      <c r="H18" s="37">
        <v>9.0</v>
      </c>
      <c r="I18" s="38">
        <v>10.0</v>
      </c>
      <c r="J18" s="37"/>
      <c r="K18" s="38"/>
      <c r="L18" s="37"/>
      <c r="M18" s="38"/>
      <c r="N18" s="37"/>
      <c r="O18" s="38"/>
      <c r="P18" s="6"/>
      <c r="Q18" s="6">
        <f t="shared" ref="Q18:R18" si="3">D18+F18+H18+J18+L18+N18</f>
        <v>19</v>
      </c>
      <c r="R18" s="6">
        <f t="shared" si="3"/>
        <v>11</v>
      </c>
      <c r="S18" s="6">
        <f t="shared" si="4"/>
        <v>7</v>
      </c>
      <c r="T18" s="6">
        <f t="shared" si="5"/>
        <v>-5</v>
      </c>
      <c r="U18" s="6">
        <f t="shared" si="6"/>
        <v>-2</v>
      </c>
      <c r="V18" s="6">
        <f t="shared" si="7"/>
        <v>-19</v>
      </c>
      <c r="W18" s="6">
        <f t="shared" si="8"/>
        <v>-19</v>
      </c>
      <c r="X18" s="6">
        <f t="shared" si="9"/>
        <v>-19</v>
      </c>
    </row>
    <row r="19" ht="26.25" customHeight="1">
      <c r="A19" s="1"/>
      <c r="B19" s="33">
        <f t="shared" si="10"/>
        <v>3</v>
      </c>
      <c r="C19" s="34" t="s">
        <v>16</v>
      </c>
      <c r="D19" s="35">
        <v>8.0</v>
      </c>
      <c r="E19" s="36">
        <v>0.0</v>
      </c>
      <c r="F19" s="37">
        <v>2.0</v>
      </c>
      <c r="G19" s="38">
        <v>2.0</v>
      </c>
      <c r="H19" s="37">
        <v>10.0</v>
      </c>
      <c r="I19" s="38">
        <v>1.0</v>
      </c>
      <c r="J19" s="37"/>
      <c r="K19" s="38"/>
      <c r="L19" s="37"/>
      <c r="M19" s="38"/>
      <c r="N19" s="37"/>
      <c r="O19" s="38"/>
      <c r="P19" s="6"/>
      <c r="Q19" s="6">
        <f t="shared" ref="Q19:R19" si="11">D19+F19+H19+J19+L19+N19</f>
        <v>20</v>
      </c>
      <c r="R19" s="6">
        <f t="shared" si="11"/>
        <v>3</v>
      </c>
      <c r="S19" s="6">
        <f t="shared" si="4"/>
        <v>7</v>
      </c>
      <c r="T19" s="6">
        <f t="shared" si="5"/>
        <v>-16</v>
      </c>
      <c r="U19" s="6">
        <f t="shared" si="6"/>
        <v>9</v>
      </c>
      <c r="V19" s="6">
        <f t="shared" si="7"/>
        <v>-20</v>
      </c>
      <c r="W19" s="6">
        <f t="shared" si="8"/>
        <v>-20</v>
      </c>
      <c r="X19" s="6">
        <f t="shared" si="9"/>
        <v>-20</v>
      </c>
    </row>
    <row r="20" ht="26.25" customHeight="1">
      <c r="A20" s="1"/>
      <c r="B20" s="33">
        <f t="shared" si="10"/>
        <v>4</v>
      </c>
      <c r="C20" s="34" t="s">
        <v>16</v>
      </c>
      <c r="D20" s="35">
        <v>12.0</v>
      </c>
      <c r="E20" s="36">
        <v>0.0</v>
      </c>
      <c r="F20" s="37">
        <v>7.0</v>
      </c>
      <c r="G20" s="38">
        <v>5.0</v>
      </c>
      <c r="H20" s="37">
        <v>12.0</v>
      </c>
      <c r="I20" s="38">
        <v>3.0</v>
      </c>
      <c r="J20" s="37"/>
      <c r="K20" s="38"/>
      <c r="L20" s="37"/>
      <c r="M20" s="38"/>
      <c r="N20" s="37"/>
      <c r="O20" s="38"/>
      <c r="P20" s="6"/>
      <c r="Q20" s="6">
        <f t="shared" ref="Q20:R20" si="12">D20+F20+H20+J20+L20+N20</f>
        <v>31</v>
      </c>
      <c r="R20" s="6">
        <f t="shared" si="12"/>
        <v>8</v>
      </c>
      <c r="S20" s="6">
        <f t="shared" si="4"/>
        <v>13</v>
      </c>
      <c r="T20" s="6">
        <f t="shared" si="5"/>
        <v>-15</v>
      </c>
      <c r="U20" s="6">
        <f t="shared" si="6"/>
        <v>2</v>
      </c>
      <c r="V20" s="6">
        <f t="shared" si="7"/>
        <v>-31</v>
      </c>
      <c r="W20" s="6">
        <f t="shared" si="8"/>
        <v>-31</v>
      </c>
      <c r="X20" s="6">
        <f t="shared" si="9"/>
        <v>-31</v>
      </c>
    </row>
    <row r="21" ht="26.25" customHeight="1">
      <c r="A21" s="1"/>
      <c r="B21" s="33">
        <f t="shared" si="10"/>
        <v>5</v>
      </c>
      <c r="C21" s="34" t="s">
        <v>15</v>
      </c>
      <c r="D21" s="35">
        <v>11.0</v>
      </c>
      <c r="E21" s="36">
        <v>1.0</v>
      </c>
      <c r="F21" s="37">
        <v>21.0</v>
      </c>
      <c r="G21" s="38">
        <v>0.0</v>
      </c>
      <c r="H21" s="37">
        <v>2.0</v>
      </c>
      <c r="I21" s="38">
        <v>4.0</v>
      </c>
      <c r="J21" s="37"/>
      <c r="K21" s="38"/>
      <c r="L21" s="37"/>
      <c r="M21" s="38"/>
      <c r="N21" s="37"/>
      <c r="O21" s="38"/>
      <c r="P21" s="6"/>
      <c r="Q21" s="6">
        <f t="shared" ref="Q21:R21" si="13">D21+F21+H21+J21+L21+N21</f>
        <v>34</v>
      </c>
      <c r="R21" s="6">
        <f t="shared" si="13"/>
        <v>5</v>
      </c>
      <c r="S21" s="6">
        <f t="shared" si="4"/>
        <v>-2</v>
      </c>
      <c r="T21" s="6">
        <f t="shared" si="5"/>
        <v>34</v>
      </c>
      <c r="U21" s="6">
        <f t="shared" si="6"/>
        <v>-32</v>
      </c>
      <c r="V21" s="6">
        <f t="shared" si="7"/>
        <v>-34</v>
      </c>
      <c r="W21" s="6">
        <f t="shared" si="8"/>
        <v>-34</v>
      </c>
      <c r="X21" s="6">
        <f t="shared" si="9"/>
        <v>-34</v>
      </c>
    </row>
    <row r="22" ht="26.25" customHeight="1">
      <c r="A22" s="1"/>
      <c r="B22" s="33">
        <f t="shared" si="10"/>
        <v>6</v>
      </c>
      <c r="C22" s="34" t="s">
        <v>21</v>
      </c>
      <c r="D22" s="35">
        <v>7.0</v>
      </c>
      <c r="E22" s="36">
        <v>10.0</v>
      </c>
      <c r="F22" s="37">
        <v>8.0</v>
      </c>
      <c r="G22" s="38">
        <v>9.0</v>
      </c>
      <c r="H22" s="37">
        <v>4.0</v>
      </c>
      <c r="I22" s="38">
        <v>0.0</v>
      </c>
      <c r="J22" s="41"/>
      <c r="K22" s="42"/>
      <c r="L22" s="41"/>
      <c r="M22" s="42"/>
      <c r="N22" s="41"/>
      <c r="O22" s="42"/>
      <c r="P22" s="6"/>
      <c r="Q22" s="6">
        <f t="shared" ref="Q22:R22" si="14">D22+F22+H22+J22+L22+N22</f>
        <v>19</v>
      </c>
      <c r="R22" s="6">
        <f t="shared" si="14"/>
        <v>19</v>
      </c>
      <c r="S22" s="6">
        <f t="shared" si="4"/>
        <v>-8</v>
      </c>
      <c r="T22" s="6">
        <f t="shared" si="5"/>
        <v>-4</v>
      </c>
      <c r="U22" s="6">
        <f t="shared" si="6"/>
        <v>12</v>
      </c>
      <c r="V22" s="6">
        <f t="shared" si="7"/>
        <v>-19</v>
      </c>
      <c r="W22" s="6">
        <f t="shared" si="8"/>
        <v>-19</v>
      </c>
      <c r="X22" s="6">
        <f t="shared" si="9"/>
        <v>-19</v>
      </c>
    </row>
    <row r="23" ht="26.25" customHeight="1">
      <c r="A23" s="1"/>
      <c r="B23" s="33">
        <f t="shared" si="10"/>
        <v>7</v>
      </c>
      <c r="C23" s="34"/>
      <c r="D23" s="35"/>
      <c r="E23" s="36"/>
      <c r="F23" s="41"/>
      <c r="G23" s="42"/>
      <c r="H23" s="41"/>
      <c r="I23" s="42"/>
      <c r="J23" s="41"/>
      <c r="K23" s="42"/>
      <c r="L23" s="41"/>
      <c r="M23" s="42"/>
      <c r="N23" s="41"/>
      <c r="O23" s="42"/>
      <c r="P23" s="6"/>
      <c r="Q23" s="6">
        <f t="shared" ref="Q23:R23" si="15">D23+F23+H23+J23+L23+N23</f>
        <v>0</v>
      </c>
      <c r="R23" s="6">
        <f t="shared" si="15"/>
        <v>0</v>
      </c>
      <c r="S23" s="6" t="str">
        <f t="shared" si="4"/>
        <v>#N/A</v>
      </c>
      <c r="T23" s="6" t="str">
        <f t="shared" si="5"/>
        <v>#N/A</v>
      </c>
      <c r="U23" s="6" t="str">
        <f t="shared" si="6"/>
        <v>#N/A</v>
      </c>
      <c r="V23" s="6" t="str">
        <f t="shared" si="7"/>
        <v>#N/A</v>
      </c>
      <c r="W23" s="6" t="str">
        <f t="shared" si="8"/>
        <v>#N/A</v>
      </c>
      <c r="X23" s="6" t="str">
        <f t="shared" si="9"/>
        <v>#N/A</v>
      </c>
    </row>
    <row r="24" ht="26.25" customHeight="1">
      <c r="A24" s="1"/>
      <c r="B24" s="33" t="str">
        <f t="shared" si="10"/>
        <v/>
      </c>
      <c r="C24" s="34"/>
      <c r="D24" s="35"/>
      <c r="E24" s="36"/>
      <c r="F24" s="41"/>
      <c r="G24" s="42"/>
      <c r="H24" s="41"/>
      <c r="I24" s="42"/>
      <c r="J24" s="41"/>
      <c r="K24" s="42"/>
      <c r="L24" s="41"/>
      <c r="M24" s="42"/>
      <c r="N24" s="41"/>
      <c r="O24" s="42"/>
      <c r="P24" s="6"/>
      <c r="Q24" s="6">
        <f t="shared" ref="Q24:R24" si="16">D24+F24+H24+J24+L24+N24</f>
        <v>0</v>
      </c>
      <c r="R24" s="6">
        <f t="shared" si="16"/>
        <v>0</v>
      </c>
      <c r="S24" s="6" t="str">
        <f t="shared" si="4"/>
        <v>#N/A</v>
      </c>
      <c r="T24" s="6" t="str">
        <f t="shared" si="5"/>
        <v>#N/A</v>
      </c>
      <c r="U24" s="6" t="str">
        <f t="shared" si="6"/>
        <v>#N/A</v>
      </c>
      <c r="V24" s="6" t="str">
        <f t="shared" si="7"/>
        <v>#N/A</v>
      </c>
      <c r="W24" s="6" t="str">
        <f t="shared" si="8"/>
        <v>#N/A</v>
      </c>
      <c r="X24" s="6" t="str">
        <f t="shared" si="9"/>
        <v>#N/A</v>
      </c>
    </row>
    <row r="25" ht="26.25" customHeight="1">
      <c r="A25" s="1"/>
      <c r="B25" s="33" t="str">
        <f t="shared" si="10"/>
        <v/>
      </c>
      <c r="C25" s="34"/>
      <c r="D25" s="35"/>
      <c r="E25" s="36"/>
      <c r="F25" s="41"/>
      <c r="G25" s="42"/>
      <c r="H25" s="41"/>
      <c r="I25" s="42"/>
      <c r="J25" s="41"/>
      <c r="K25" s="42"/>
      <c r="L25" s="41"/>
      <c r="M25" s="42"/>
      <c r="N25" s="41"/>
      <c r="O25" s="42"/>
      <c r="P25" s="6"/>
      <c r="Q25" s="6">
        <f t="shared" ref="Q25:R25" si="17">D25+F25+H25+J25+L25+N25</f>
        <v>0</v>
      </c>
      <c r="R25" s="6">
        <f t="shared" si="17"/>
        <v>0</v>
      </c>
      <c r="S25" s="6" t="str">
        <f t="shared" si="4"/>
        <v>#N/A</v>
      </c>
      <c r="T25" s="6" t="str">
        <f t="shared" si="5"/>
        <v>#N/A</v>
      </c>
      <c r="U25" s="6" t="str">
        <f t="shared" si="6"/>
        <v>#N/A</v>
      </c>
      <c r="V25" s="6" t="str">
        <f t="shared" si="7"/>
        <v>#N/A</v>
      </c>
      <c r="W25" s="6" t="str">
        <f t="shared" si="8"/>
        <v>#N/A</v>
      </c>
      <c r="X25" s="6" t="str">
        <f t="shared" si="9"/>
        <v>#N/A</v>
      </c>
    </row>
    <row r="26" ht="26.25" customHeight="1">
      <c r="A26" s="1"/>
      <c r="B26" s="33" t="str">
        <f t="shared" si="10"/>
        <v/>
      </c>
      <c r="C26" s="34"/>
      <c r="D26" s="35"/>
      <c r="E26" s="36"/>
      <c r="F26" s="41"/>
      <c r="G26" s="42"/>
      <c r="H26" s="41"/>
      <c r="I26" s="42"/>
      <c r="J26" s="41"/>
      <c r="K26" s="42"/>
      <c r="L26" s="41"/>
      <c r="M26" s="42"/>
      <c r="N26" s="41"/>
      <c r="O26" s="42"/>
      <c r="P26" s="6"/>
      <c r="Q26" s="6">
        <f t="shared" ref="Q26:R26" si="18">D26+F26+H26+J26+L26+N26</f>
        <v>0</v>
      </c>
      <c r="R26" s="6">
        <f t="shared" si="18"/>
        <v>0</v>
      </c>
      <c r="S26" s="6" t="str">
        <f t="shared" si="4"/>
        <v>#N/A</v>
      </c>
      <c r="T26" s="6" t="str">
        <f t="shared" si="5"/>
        <v>#N/A</v>
      </c>
      <c r="U26" s="6" t="str">
        <f t="shared" si="6"/>
        <v>#N/A</v>
      </c>
      <c r="V26" s="6" t="str">
        <f t="shared" si="7"/>
        <v>#N/A</v>
      </c>
      <c r="W26" s="6" t="str">
        <f t="shared" si="8"/>
        <v>#N/A</v>
      </c>
      <c r="X26" s="6" t="str">
        <f t="shared" si="9"/>
        <v>#N/A</v>
      </c>
    </row>
    <row r="27" ht="26.25" customHeight="1">
      <c r="A27" s="1"/>
      <c r="B27" s="33" t="str">
        <f t="shared" si="10"/>
        <v/>
      </c>
      <c r="C27" s="34"/>
      <c r="D27" s="35"/>
      <c r="E27" s="36"/>
      <c r="F27" s="41"/>
      <c r="G27" s="42"/>
      <c r="H27" s="41"/>
      <c r="I27" s="42"/>
      <c r="J27" s="41"/>
      <c r="K27" s="42"/>
      <c r="L27" s="41"/>
      <c r="M27" s="42"/>
      <c r="N27" s="41"/>
      <c r="O27" s="42"/>
      <c r="P27" s="6"/>
      <c r="Q27" s="6">
        <f t="shared" ref="Q27:R27" si="19">D27+F27+H27+J27+L27+N27</f>
        <v>0</v>
      </c>
      <c r="R27" s="6">
        <f t="shared" si="19"/>
        <v>0</v>
      </c>
      <c r="S27" s="6" t="str">
        <f t="shared" si="4"/>
        <v>#N/A</v>
      </c>
      <c r="T27" s="6" t="str">
        <f t="shared" si="5"/>
        <v>#N/A</v>
      </c>
      <c r="U27" s="6" t="str">
        <f t="shared" si="6"/>
        <v>#N/A</v>
      </c>
      <c r="V27" s="6" t="str">
        <f t="shared" si="7"/>
        <v>#N/A</v>
      </c>
      <c r="W27" s="6" t="str">
        <f t="shared" si="8"/>
        <v>#N/A</v>
      </c>
      <c r="X27" s="6" t="str">
        <f t="shared" si="9"/>
        <v>#N/A</v>
      </c>
    </row>
    <row r="28" ht="26.25" customHeight="1">
      <c r="A28" s="1"/>
      <c r="B28" s="33" t="str">
        <f t="shared" si="10"/>
        <v/>
      </c>
      <c r="C28" s="34"/>
      <c r="D28" s="35"/>
      <c r="E28" s="36"/>
      <c r="F28" s="41"/>
      <c r="G28" s="42"/>
      <c r="H28" s="41"/>
      <c r="I28" s="42"/>
      <c r="J28" s="41"/>
      <c r="K28" s="42"/>
      <c r="L28" s="41"/>
      <c r="M28" s="42"/>
      <c r="N28" s="41"/>
      <c r="O28" s="42"/>
      <c r="P28" s="6"/>
      <c r="Q28" s="6">
        <f t="shared" ref="Q28:R28" si="20">D28+F28+H28+J28+L28+N28</f>
        <v>0</v>
      </c>
      <c r="R28" s="6">
        <f t="shared" si="20"/>
        <v>0</v>
      </c>
      <c r="S28" s="6" t="str">
        <f t="shared" si="4"/>
        <v>#N/A</v>
      </c>
      <c r="T28" s="6" t="str">
        <f t="shared" si="5"/>
        <v>#N/A</v>
      </c>
      <c r="U28" s="6" t="str">
        <f t="shared" si="6"/>
        <v>#N/A</v>
      </c>
      <c r="V28" s="6" t="str">
        <f t="shared" si="7"/>
        <v>#N/A</v>
      </c>
      <c r="W28" s="6" t="str">
        <f t="shared" si="8"/>
        <v>#N/A</v>
      </c>
      <c r="X28" s="6" t="str">
        <f t="shared" si="9"/>
        <v>#N/A</v>
      </c>
    </row>
    <row r="29" ht="26.25" customHeight="1">
      <c r="A29" s="1"/>
      <c r="B29" s="33" t="str">
        <f t="shared" si="10"/>
        <v/>
      </c>
      <c r="C29" s="34"/>
      <c r="D29" s="35"/>
      <c r="E29" s="36"/>
      <c r="F29" s="41"/>
      <c r="G29" s="42"/>
      <c r="H29" s="41"/>
      <c r="I29" s="42"/>
      <c r="J29" s="41"/>
      <c r="K29" s="42"/>
      <c r="L29" s="41"/>
      <c r="M29" s="42"/>
      <c r="N29" s="41"/>
      <c r="O29" s="42"/>
      <c r="P29" s="6"/>
      <c r="Q29" s="6">
        <f t="shared" ref="Q29:R29" si="21">D29+F29+H29+J29+L29+N29</f>
        <v>0</v>
      </c>
      <c r="R29" s="6">
        <f t="shared" si="21"/>
        <v>0</v>
      </c>
      <c r="S29" s="6" t="str">
        <f t="shared" si="4"/>
        <v>#N/A</v>
      </c>
      <c r="T29" s="6" t="str">
        <f t="shared" si="5"/>
        <v>#N/A</v>
      </c>
      <c r="U29" s="6" t="str">
        <f t="shared" si="6"/>
        <v>#N/A</v>
      </c>
      <c r="V29" s="6" t="str">
        <f t="shared" si="7"/>
        <v>#N/A</v>
      </c>
      <c r="W29" s="6" t="str">
        <f t="shared" si="8"/>
        <v>#N/A</v>
      </c>
      <c r="X29" s="6" t="str">
        <f t="shared" si="9"/>
        <v>#N/A</v>
      </c>
    </row>
    <row r="30" ht="26.25" customHeight="1">
      <c r="A30" s="1"/>
      <c r="B30" s="33" t="str">
        <f t="shared" si="10"/>
        <v/>
      </c>
      <c r="C30" s="34"/>
      <c r="D30" s="35"/>
      <c r="E30" s="36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6"/>
      <c r="Q30" s="6">
        <f t="shared" ref="Q30:R30" si="22">D30+F30+H30+J30+L30+N30</f>
        <v>0</v>
      </c>
      <c r="R30" s="6">
        <f t="shared" si="22"/>
        <v>0</v>
      </c>
      <c r="S30" s="6" t="str">
        <f t="shared" si="4"/>
        <v>#N/A</v>
      </c>
      <c r="T30" s="6" t="str">
        <f t="shared" si="5"/>
        <v>#N/A</v>
      </c>
      <c r="U30" s="6" t="str">
        <f t="shared" si="6"/>
        <v>#N/A</v>
      </c>
      <c r="V30" s="6" t="str">
        <f t="shared" si="7"/>
        <v>#N/A</v>
      </c>
      <c r="W30" s="6" t="str">
        <f t="shared" si="8"/>
        <v>#N/A</v>
      </c>
      <c r="X30" s="6" t="str">
        <f t="shared" si="9"/>
        <v>#N/A</v>
      </c>
    </row>
    <row r="31" ht="26.25" customHeight="1">
      <c r="A31" s="1"/>
      <c r="B31" s="33" t="str">
        <f t="shared" si="10"/>
        <v/>
      </c>
      <c r="C31" s="34"/>
      <c r="D31" s="35"/>
      <c r="E31" s="36"/>
      <c r="F31" s="41"/>
      <c r="G31" s="42"/>
      <c r="H31" s="41"/>
      <c r="I31" s="42"/>
      <c r="J31" s="41"/>
      <c r="K31" s="42"/>
      <c r="L31" s="41"/>
      <c r="M31" s="42"/>
      <c r="N31" s="41"/>
      <c r="O31" s="42"/>
      <c r="P31" s="6"/>
      <c r="Q31" s="6">
        <f t="shared" ref="Q31:R31" si="23">D31+F31+H31+J31+L31+N31</f>
        <v>0</v>
      </c>
      <c r="R31" s="6">
        <f t="shared" si="23"/>
        <v>0</v>
      </c>
      <c r="S31" s="6" t="str">
        <f t="shared" si="4"/>
        <v>#N/A</v>
      </c>
      <c r="T31" s="6" t="str">
        <f t="shared" si="5"/>
        <v>#N/A</v>
      </c>
      <c r="U31" s="6" t="str">
        <f t="shared" si="6"/>
        <v>#N/A</v>
      </c>
      <c r="V31" s="6" t="str">
        <f t="shared" si="7"/>
        <v>#N/A</v>
      </c>
      <c r="W31" s="6" t="str">
        <f t="shared" si="8"/>
        <v>#N/A</v>
      </c>
      <c r="X31" s="6" t="str">
        <f t="shared" si="9"/>
        <v>#N/A</v>
      </c>
    </row>
    <row r="32" ht="26.25" customHeight="1">
      <c r="A32" s="1"/>
      <c r="B32" s="33" t="str">
        <f t="shared" si="10"/>
        <v/>
      </c>
      <c r="C32" s="34"/>
      <c r="D32" s="35"/>
      <c r="E32" s="36"/>
      <c r="F32" s="41"/>
      <c r="G32" s="42"/>
      <c r="H32" s="41"/>
      <c r="I32" s="42"/>
      <c r="J32" s="41"/>
      <c r="K32" s="42"/>
      <c r="L32" s="41"/>
      <c r="M32" s="42"/>
      <c r="N32" s="41"/>
      <c r="O32" s="42"/>
      <c r="P32" s="6"/>
      <c r="Q32" s="6">
        <f t="shared" ref="Q32:R32" si="24">D32+F32+H32+J32+L32+N32</f>
        <v>0</v>
      </c>
      <c r="R32" s="6">
        <f t="shared" si="24"/>
        <v>0</v>
      </c>
      <c r="S32" s="6" t="str">
        <f t="shared" si="4"/>
        <v>#N/A</v>
      </c>
      <c r="T32" s="6" t="str">
        <f t="shared" si="5"/>
        <v>#N/A</v>
      </c>
      <c r="U32" s="6" t="str">
        <f t="shared" si="6"/>
        <v>#N/A</v>
      </c>
      <c r="V32" s="6" t="str">
        <f t="shared" si="7"/>
        <v>#N/A</v>
      </c>
      <c r="W32" s="6" t="str">
        <f t="shared" si="8"/>
        <v>#N/A</v>
      </c>
      <c r="X32" s="6" t="str">
        <f t="shared" si="9"/>
        <v>#N/A</v>
      </c>
    </row>
    <row r="33" ht="26.25" customHeight="1">
      <c r="A33" s="1"/>
      <c r="B33" s="33" t="str">
        <f t="shared" si="10"/>
        <v/>
      </c>
      <c r="C33" s="34"/>
      <c r="D33" s="35"/>
      <c r="E33" s="36"/>
      <c r="F33" s="41"/>
      <c r="G33" s="42"/>
      <c r="H33" s="41"/>
      <c r="I33" s="42"/>
      <c r="J33" s="41"/>
      <c r="K33" s="42"/>
      <c r="L33" s="41"/>
      <c r="M33" s="42"/>
      <c r="N33" s="41"/>
      <c r="O33" s="42"/>
      <c r="P33" s="6"/>
      <c r="Q33" s="6">
        <f t="shared" ref="Q33:R33" si="25">D33+F33+H33+J33+L33+N33</f>
        <v>0</v>
      </c>
      <c r="R33" s="6">
        <f t="shared" si="25"/>
        <v>0</v>
      </c>
      <c r="S33" s="6" t="str">
        <f t="shared" si="4"/>
        <v>#N/A</v>
      </c>
      <c r="T33" s="6" t="str">
        <f t="shared" si="5"/>
        <v>#N/A</v>
      </c>
      <c r="U33" s="6" t="str">
        <f t="shared" si="6"/>
        <v>#N/A</v>
      </c>
      <c r="V33" s="6" t="str">
        <f t="shared" si="7"/>
        <v>#N/A</v>
      </c>
      <c r="W33" s="6" t="str">
        <f t="shared" si="8"/>
        <v>#N/A</v>
      </c>
      <c r="X33" s="6" t="str">
        <f t="shared" si="9"/>
        <v>#N/A</v>
      </c>
    </row>
    <row r="34" ht="26.25" customHeight="1">
      <c r="A34" s="1"/>
      <c r="B34" s="33" t="str">
        <f t="shared" si="10"/>
        <v/>
      </c>
      <c r="C34" s="34"/>
      <c r="D34" s="35"/>
      <c r="E34" s="36"/>
      <c r="F34" s="41"/>
      <c r="G34" s="42"/>
      <c r="H34" s="41"/>
      <c r="I34" s="42"/>
      <c r="J34" s="41"/>
      <c r="K34" s="42"/>
      <c r="L34" s="41"/>
      <c r="M34" s="42"/>
      <c r="N34" s="41"/>
      <c r="O34" s="42"/>
      <c r="P34" s="6"/>
      <c r="Q34" s="6">
        <f t="shared" ref="Q34:R34" si="26">D34+F34+H34+J34+L34+N34</f>
        <v>0</v>
      </c>
      <c r="R34" s="6">
        <f t="shared" si="26"/>
        <v>0</v>
      </c>
      <c r="S34" s="6" t="str">
        <f t="shared" si="4"/>
        <v>#N/A</v>
      </c>
      <c r="T34" s="6" t="str">
        <f t="shared" si="5"/>
        <v>#N/A</v>
      </c>
      <c r="U34" s="6" t="str">
        <f t="shared" si="6"/>
        <v>#N/A</v>
      </c>
      <c r="V34" s="6" t="str">
        <f t="shared" si="7"/>
        <v>#N/A</v>
      </c>
      <c r="W34" s="6" t="str">
        <f t="shared" si="8"/>
        <v>#N/A</v>
      </c>
      <c r="X34" s="6" t="str">
        <f t="shared" si="9"/>
        <v>#N/A</v>
      </c>
    </row>
    <row r="35" ht="26.25" customHeight="1">
      <c r="A35" s="1"/>
      <c r="B35" s="33" t="str">
        <f t="shared" si="10"/>
        <v/>
      </c>
      <c r="C35" s="34"/>
      <c r="D35" s="35"/>
      <c r="E35" s="36"/>
      <c r="F35" s="41"/>
      <c r="G35" s="42"/>
      <c r="H35" s="41"/>
      <c r="I35" s="42"/>
      <c r="J35" s="41"/>
      <c r="K35" s="42"/>
      <c r="L35" s="41"/>
      <c r="M35" s="42"/>
      <c r="N35" s="41"/>
      <c r="O35" s="42"/>
      <c r="P35" s="6"/>
      <c r="Q35" s="6">
        <f t="shared" ref="Q35:R35" si="27">D35+F35+H35+J35+L35+N35</f>
        <v>0</v>
      </c>
      <c r="R35" s="6">
        <f t="shared" si="27"/>
        <v>0</v>
      </c>
      <c r="S35" s="6" t="str">
        <f t="shared" si="4"/>
        <v>#N/A</v>
      </c>
      <c r="T35" s="6" t="str">
        <f t="shared" si="5"/>
        <v>#N/A</v>
      </c>
      <c r="U35" s="6" t="str">
        <f t="shared" si="6"/>
        <v>#N/A</v>
      </c>
      <c r="V35" s="6" t="str">
        <f t="shared" si="7"/>
        <v>#N/A</v>
      </c>
      <c r="W35" s="6" t="str">
        <f t="shared" si="8"/>
        <v>#N/A</v>
      </c>
      <c r="X35" s="6" t="str">
        <f t="shared" si="9"/>
        <v>#N/A</v>
      </c>
    </row>
    <row r="36" ht="26.25" customHeight="1">
      <c r="A36" s="1"/>
      <c r="B36" s="43" t="str">
        <f t="shared" si="10"/>
        <v/>
      </c>
      <c r="C36" s="44"/>
      <c r="D36" s="45"/>
      <c r="E36" s="46"/>
      <c r="F36" s="47"/>
      <c r="G36" s="48"/>
      <c r="H36" s="47"/>
      <c r="I36" s="48"/>
      <c r="J36" s="47"/>
      <c r="K36" s="48"/>
      <c r="L36" s="47"/>
      <c r="M36" s="48"/>
      <c r="N36" s="47"/>
      <c r="O36" s="48"/>
      <c r="P36" s="6"/>
      <c r="Q36" s="6">
        <f t="shared" ref="Q36:R36" si="28">D36+F36+H36+J36+L36+N36</f>
        <v>0</v>
      </c>
      <c r="R36" s="6">
        <f t="shared" si="28"/>
        <v>0</v>
      </c>
      <c r="S36" s="6" t="str">
        <f t="shared" si="4"/>
        <v>#N/A</v>
      </c>
      <c r="T36" s="6" t="str">
        <f t="shared" si="5"/>
        <v>#N/A</v>
      </c>
      <c r="U36" s="6" t="str">
        <f t="shared" si="6"/>
        <v>#N/A</v>
      </c>
      <c r="V36" s="6" t="str">
        <f t="shared" si="7"/>
        <v>#N/A</v>
      </c>
      <c r="W36" s="6" t="str">
        <f t="shared" si="8"/>
        <v>#N/A</v>
      </c>
      <c r="X36" s="6" t="str">
        <f t="shared" si="9"/>
        <v>#N/A</v>
      </c>
    </row>
    <row r="37" ht="15.0" customHeight="1">
      <c r="A37" s="1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</row>
  </sheetData>
  <mergeCells count="23">
    <mergeCell ref="B8:C8"/>
    <mergeCell ref="B9:C9"/>
    <mergeCell ref="B10:C10"/>
    <mergeCell ref="B11:C11"/>
    <mergeCell ref="B15:B16"/>
    <mergeCell ref="C15:C16"/>
    <mergeCell ref="B2:D2"/>
    <mergeCell ref="B4:E4"/>
    <mergeCell ref="B6:C6"/>
    <mergeCell ref="D6:E6"/>
    <mergeCell ref="B7:C7"/>
    <mergeCell ref="D7:E7"/>
    <mergeCell ref="D8:E8"/>
    <mergeCell ref="J15:K15"/>
    <mergeCell ref="L15:M15"/>
    <mergeCell ref="N15:O15"/>
    <mergeCell ref="D9:E9"/>
    <mergeCell ref="D10:E10"/>
    <mergeCell ref="D11:E11"/>
    <mergeCell ref="B13:E13"/>
    <mergeCell ref="D15:E15"/>
    <mergeCell ref="F15:G15"/>
    <mergeCell ref="H15:I15"/>
  </mergeCells>
  <conditionalFormatting sqref="E2">
    <cfRule type="notContainsBlanks" dxfId="0" priority="1">
      <formula>LEN(TRIM(E2))&gt;0</formula>
    </cfRule>
  </conditionalFormatting>
  <conditionalFormatting sqref="D6:E6">
    <cfRule type="expression" dxfId="1" priority="2">
      <formula>AND(ISBLANK(D6:E6),E2&gt;0)</formula>
    </cfRule>
  </conditionalFormatting>
  <conditionalFormatting sqref="G5 G14">
    <cfRule type="notContainsBlanks" dxfId="0" priority="3">
      <formula>LEN(TRIM(G5))&gt;0</formula>
    </cfRule>
  </conditionalFormatting>
  <conditionalFormatting sqref="D7:E7">
    <cfRule type="expression" dxfId="1" priority="4">
      <formula>AND(ISBLANK(D7:E7),E2&gt;1)</formula>
    </cfRule>
  </conditionalFormatting>
  <conditionalFormatting sqref="D8:E8">
    <cfRule type="expression" dxfId="1" priority="5">
      <formula>AND(ISBLANK(D8:E8),E2&gt;2)</formula>
    </cfRule>
  </conditionalFormatting>
  <conditionalFormatting sqref="D9:E9">
    <cfRule type="expression" dxfId="1" priority="6">
      <formula>AND(ISBLANK(D9:E9),E2&gt;3)</formula>
    </cfRule>
  </conditionalFormatting>
  <conditionalFormatting sqref="D10:E10">
    <cfRule type="expression" dxfId="1" priority="7">
      <formula>AND(ISBLANK(D10:E10),E2&gt;4)</formula>
    </cfRule>
  </conditionalFormatting>
  <conditionalFormatting sqref="D11:E11">
    <cfRule type="expression" dxfId="1" priority="8">
      <formula>AND(ISBLANK(D11:E11),E2&gt;5)</formula>
    </cfRule>
  </conditionalFormatting>
  <conditionalFormatting sqref="D6:E6">
    <cfRule type="expression" dxfId="0" priority="9">
      <formula>AND(NOT(ISBLANK(D6:E6)),E2&gt;0)</formula>
    </cfRule>
  </conditionalFormatting>
  <conditionalFormatting sqref="D7:E7">
    <cfRule type="expression" dxfId="0" priority="10">
      <formula>AND(NOT(ISBLANK(D7:E7)),E2&gt;1)</formula>
    </cfRule>
  </conditionalFormatting>
  <conditionalFormatting sqref="D8:E8">
    <cfRule type="expression" dxfId="0" priority="11">
      <formula>AND(NOT(ISBLANK(D8:E8)),E2&gt;2)</formula>
    </cfRule>
  </conditionalFormatting>
  <conditionalFormatting sqref="D9:E9">
    <cfRule type="expression" dxfId="0" priority="12">
      <formula>AND(NOT(ISBLANK(D9:E9)),E2&gt;3)</formula>
    </cfRule>
  </conditionalFormatting>
  <conditionalFormatting sqref="D10:E10">
    <cfRule type="expression" dxfId="0" priority="13">
      <formula>AND(NOT(ISBLANK(D10:E10)),E2&gt;4)</formula>
    </cfRule>
  </conditionalFormatting>
  <conditionalFormatting sqref="D11:E11">
    <cfRule type="expression" dxfId="0" priority="14">
      <formula>AND(NOT(ISBLANK(D11:E11)),E2&gt;5)</formula>
    </cfRule>
  </conditionalFormatting>
  <conditionalFormatting sqref="C18:O36">
    <cfRule type="expression" dxfId="2" priority="15">
      <formula>ISBLANK(C17)</formula>
    </cfRule>
  </conditionalFormatting>
  <conditionalFormatting sqref="C17:O36">
    <cfRule type="notContainsBlanks" dxfId="0" priority="16">
      <formula>LEN(TRIM(C17))&gt;0</formula>
    </cfRule>
  </conditionalFormatting>
  <conditionalFormatting sqref="D17:E36">
    <cfRule type="expression" dxfId="1" priority="17">
      <formula>$E$2&gt;0</formula>
    </cfRule>
  </conditionalFormatting>
  <conditionalFormatting sqref="F17:G36">
    <cfRule type="expression" dxfId="1" priority="18">
      <formula>$E$2&gt;1</formula>
    </cfRule>
  </conditionalFormatting>
  <conditionalFormatting sqref="H17:I36">
    <cfRule type="expression" dxfId="1" priority="19">
      <formula>$E$2&gt;2</formula>
    </cfRule>
  </conditionalFormatting>
  <conditionalFormatting sqref="J17:K36">
    <cfRule type="expression" dxfId="1" priority="20">
      <formula>$E$2&gt;3</formula>
    </cfRule>
  </conditionalFormatting>
  <conditionalFormatting sqref="L17:M36">
    <cfRule type="expression" dxfId="1" priority="21">
      <formula>$E$2&gt;4</formula>
    </cfRule>
  </conditionalFormatting>
  <conditionalFormatting sqref="N17:O36">
    <cfRule type="expression" dxfId="1" priority="22">
      <formula>$E$2&gt;5</formula>
    </cfRule>
  </conditionalFormatting>
  <conditionalFormatting sqref="F6:F11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C18:C36">
    <cfRule type="expression" dxfId="1" priority="24">
      <formula>NOT(ISBLANK(C17))</formula>
    </cfRule>
  </conditionalFormatting>
  <dataValidations>
    <dataValidation type="list" allowBlank="1" showErrorMessage="1" sqref="E2">
      <formula1>"2,3,4,5,6"</formula1>
    </dataValidation>
    <dataValidation type="list" allowBlank="1" showErrorMessage="1" sqref="C17:C36">
      <formula1>'Copy of Nov 1 2024'!$D$6:$D$11</formula1>
    </dataValidation>
  </dataValidations>
  <drawing r:id="rId1"/>
</worksheet>
</file>